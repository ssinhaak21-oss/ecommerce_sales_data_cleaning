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GitHub Project upload\"/>
    </mc:Choice>
  </mc:AlternateContent>
  <xr:revisionPtr revIDLastSave="0" documentId="8_{B968AC2A-AD90-493D-A43B-7B1B5C22D5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3" r:id="rId1"/>
  </sheets>
  <definedNames>
    <definedName name="_xlnm._FilterDatabase" localSheetId="0" hidden="1">Cleaned_Data!$A$1:$R$192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gQS3qud/arj9IHwolqiiGbJ0z7bTUO2L50YaNstVss="/>
    </ext>
  </extLst>
</workbook>
</file>

<file path=xl/calcChain.xml><?xml version="1.0" encoding="utf-8"?>
<calcChain xmlns="http://schemas.openxmlformats.org/spreadsheetml/2006/main">
  <c r="S12" i="3" l="1"/>
  <c r="S11" i="3"/>
  <c r="S3" i="3"/>
  <c r="S4" i="3"/>
  <c r="S5" i="3"/>
  <c r="S6" i="3"/>
  <c r="S7" i="3"/>
  <c r="S8" i="3"/>
  <c r="S9" i="3"/>
  <c r="S10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2" i="3"/>
  <c r="I2" i="3" a="1"/>
  <c r="I2" i="3" s="1"/>
  <c r="J2" i="3" s="1"/>
  <c r="I3" i="3" a="1"/>
  <c r="I3" i="3" s="1"/>
  <c r="J3" i="3" s="1"/>
  <c r="I4" i="3" a="1"/>
  <c r="I4" i="3" s="1"/>
  <c r="J4" i="3" s="1"/>
  <c r="I5" i="3" a="1"/>
  <c r="I5" i="3" s="1"/>
  <c r="J5" i="3" s="1"/>
  <c r="I6" i="3" a="1"/>
  <c r="I6" i="3" s="1"/>
  <c r="J6" i="3" s="1"/>
  <c r="I7" i="3" a="1"/>
  <c r="I7" i="3" s="1"/>
  <c r="J7" i="3" s="1"/>
  <c r="I8" i="3" a="1"/>
  <c r="I8" i="3" s="1"/>
  <c r="J8" i="3" s="1"/>
  <c r="I9" i="3" a="1"/>
  <c r="I9" i="3" s="1"/>
  <c r="J9" i="3" s="1"/>
  <c r="I10" i="3" a="1"/>
  <c r="I10" i="3" s="1"/>
  <c r="J10" i="3" s="1"/>
  <c r="I11" i="3" a="1"/>
  <c r="I11" i="3" s="1"/>
  <c r="J11" i="3" s="1"/>
  <c r="I12" i="3" a="1"/>
  <c r="I12" i="3" s="1"/>
  <c r="J12" i="3" s="1"/>
  <c r="I13" i="3" a="1"/>
  <c r="I13" i="3" s="1"/>
  <c r="J13" i="3" s="1"/>
  <c r="I14" i="3" a="1"/>
  <c r="I14" i="3" s="1"/>
  <c r="J14" i="3" s="1"/>
  <c r="I15" i="3" a="1"/>
  <c r="I15" i="3" s="1"/>
  <c r="J15" i="3" s="1"/>
  <c r="I16" i="3" a="1"/>
  <c r="I16" i="3" s="1"/>
  <c r="J16" i="3" s="1"/>
  <c r="I17" i="3" a="1"/>
  <c r="I17" i="3" s="1"/>
  <c r="J17" i="3" s="1"/>
  <c r="I18" i="3" a="1"/>
  <c r="I18" i="3" s="1"/>
  <c r="J18" i="3" s="1"/>
  <c r="I19" i="3" a="1"/>
  <c r="I19" i="3" s="1"/>
  <c r="J19" i="3" s="1"/>
  <c r="I20" i="3" a="1"/>
  <c r="I20" i="3" s="1"/>
  <c r="J20" i="3" s="1"/>
  <c r="I21" i="3" a="1"/>
  <c r="I21" i="3" s="1"/>
  <c r="J21" i="3" s="1"/>
  <c r="I22" i="3" a="1"/>
  <c r="I22" i="3" s="1"/>
  <c r="J22" i="3" s="1"/>
  <c r="I23" i="3" a="1"/>
  <c r="I23" i="3" s="1"/>
  <c r="J23" i="3" s="1"/>
  <c r="I24" i="3" a="1"/>
  <c r="I24" i="3" s="1"/>
  <c r="J24" i="3" s="1"/>
  <c r="I25" i="3" a="1"/>
  <c r="I25" i="3" s="1"/>
  <c r="J25" i="3" s="1"/>
  <c r="I26" i="3" a="1"/>
  <c r="I26" i="3" s="1"/>
  <c r="J26" i="3" s="1"/>
  <c r="I27" i="3" a="1"/>
  <c r="I27" i="3" s="1"/>
  <c r="J27" i="3" s="1"/>
  <c r="I28" i="3" a="1"/>
  <c r="I28" i="3" s="1"/>
  <c r="J28" i="3" s="1"/>
  <c r="I29" i="3" a="1"/>
  <c r="I29" i="3" s="1"/>
  <c r="J29" i="3" s="1"/>
  <c r="I30" i="3" a="1"/>
  <c r="I30" i="3" s="1"/>
  <c r="J30" i="3" s="1"/>
  <c r="I31" i="3" a="1"/>
  <c r="I31" i="3" s="1"/>
  <c r="J31" i="3" s="1"/>
  <c r="I32" i="3" a="1"/>
  <c r="I32" i="3" s="1"/>
  <c r="J32" i="3" s="1"/>
  <c r="I33" i="3" a="1"/>
  <c r="I33" i="3" s="1"/>
  <c r="J33" i="3" s="1"/>
  <c r="I34" i="3" a="1"/>
  <c r="I34" i="3" s="1"/>
  <c r="J34" i="3" s="1"/>
  <c r="I35" i="3" a="1"/>
  <c r="I35" i="3" s="1"/>
  <c r="J35" i="3" s="1"/>
  <c r="I36" i="3" a="1"/>
  <c r="I36" i="3" s="1"/>
  <c r="J36" i="3" s="1"/>
  <c r="I37" i="3" a="1"/>
  <c r="I37" i="3" s="1"/>
  <c r="J37" i="3" s="1"/>
  <c r="I38" i="3" a="1"/>
  <c r="I38" i="3" s="1"/>
  <c r="J38" i="3" s="1"/>
  <c r="I39" i="3" a="1"/>
  <c r="I39" i="3" s="1"/>
  <c r="J39" i="3" s="1"/>
  <c r="I40" i="3" a="1"/>
  <c r="I40" i="3" s="1"/>
  <c r="J40" i="3" s="1"/>
  <c r="I41" i="3" a="1"/>
  <c r="I41" i="3" s="1"/>
  <c r="J41" i="3" s="1"/>
  <c r="I42" i="3" a="1"/>
  <c r="I42" i="3" s="1"/>
  <c r="J42" i="3" s="1"/>
  <c r="I43" i="3" a="1"/>
  <c r="I43" i="3" s="1"/>
  <c r="J43" i="3" s="1"/>
  <c r="I44" i="3" a="1"/>
  <c r="I44" i="3" s="1"/>
  <c r="J44" i="3" s="1"/>
  <c r="I45" i="3" a="1"/>
  <c r="I45" i="3" s="1"/>
  <c r="J45" i="3" s="1"/>
  <c r="I46" i="3" a="1"/>
  <c r="I46" i="3" s="1"/>
  <c r="J46" i="3" s="1"/>
  <c r="I47" i="3" a="1"/>
  <c r="I47" i="3" s="1"/>
  <c r="J47" i="3" s="1"/>
  <c r="I48" i="3" a="1"/>
  <c r="I48" i="3" s="1"/>
  <c r="J48" i="3" s="1"/>
  <c r="I49" i="3" a="1"/>
  <c r="I49" i="3" s="1"/>
  <c r="J49" i="3" s="1"/>
  <c r="I50" i="3" a="1"/>
  <c r="I50" i="3" s="1"/>
  <c r="J50" i="3" s="1"/>
  <c r="I51" i="3" a="1"/>
  <c r="I51" i="3" s="1"/>
  <c r="J51" i="3" s="1"/>
  <c r="I52" i="3" a="1"/>
  <c r="I52" i="3" s="1"/>
  <c r="J52" i="3" s="1"/>
  <c r="I53" i="3" a="1"/>
  <c r="I53" i="3" s="1"/>
  <c r="J53" i="3" s="1"/>
  <c r="I54" i="3" a="1"/>
  <c r="I54" i="3" s="1"/>
  <c r="J54" i="3" s="1"/>
  <c r="I55" i="3" a="1"/>
  <c r="I55" i="3" s="1"/>
  <c r="J55" i="3" s="1"/>
  <c r="I56" i="3" a="1"/>
  <c r="I56" i="3" s="1"/>
  <c r="J56" i="3" s="1"/>
  <c r="I57" i="3" a="1"/>
  <c r="I57" i="3" s="1"/>
  <c r="J57" i="3" s="1"/>
  <c r="I58" i="3" a="1"/>
  <c r="I58" i="3" s="1"/>
  <c r="J58" i="3" s="1"/>
  <c r="I59" i="3" a="1"/>
  <c r="I59" i="3" s="1"/>
  <c r="J59" i="3" s="1"/>
  <c r="I60" i="3" a="1"/>
  <c r="I60" i="3" s="1"/>
  <c r="J60" i="3" s="1"/>
  <c r="I61" i="3" a="1"/>
  <c r="I61" i="3" s="1"/>
  <c r="J61" i="3" s="1"/>
  <c r="I62" i="3" a="1"/>
  <c r="I62" i="3" s="1"/>
  <c r="J62" i="3" s="1"/>
  <c r="I63" i="3" a="1"/>
  <c r="I63" i="3" s="1"/>
  <c r="J63" i="3" s="1"/>
  <c r="I64" i="3" a="1"/>
  <c r="I64" i="3" s="1"/>
  <c r="J64" i="3" s="1"/>
  <c r="I65" i="3" a="1"/>
  <c r="I65" i="3" s="1"/>
  <c r="J65" i="3" s="1"/>
  <c r="I66" i="3" a="1"/>
  <c r="I66" i="3" s="1"/>
  <c r="J66" i="3" s="1"/>
  <c r="I67" i="3" a="1"/>
  <c r="I67" i="3" s="1"/>
  <c r="J67" i="3" s="1"/>
  <c r="I68" i="3" a="1"/>
  <c r="I68" i="3" s="1"/>
  <c r="J68" i="3" s="1"/>
  <c r="I69" i="3" a="1"/>
  <c r="I69" i="3" s="1"/>
  <c r="J69" i="3" s="1"/>
  <c r="I70" i="3" a="1"/>
  <c r="I70" i="3" s="1"/>
  <c r="J70" i="3" s="1"/>
  <c r="I71" i="3" a="1"/>
  <c r="I71" i="3" s="1"/>
  <c r="J71" i="3" s="1"/>
  <c r="I72" i="3" a="1"/>
  <c r="I72" i="3" s="1"/>
  <c r="J72" i="3" s="1"/>
  <c r="I73" i="3" a="1"/>
  <c r="I73" i="3" s="1"/>
  <c r="J73" i="3" s="1"/>
  <c r="I74" i="3" a="1"/>
  <c r="I74" i="3" s="1"/>
  <c r="J74" i="3" s="1"/>
  <c r="I75" i="3" a="1"/>
  <c r="I75" i="3" s="1"/>
  <c r="J75" i="3" s="1"/>
  <c r="I76" i="3" a="1"/>
  <c r="I76" i="3" s="1"/>
  <c r="J76" i="3" s="1"/>
  <c r="I77" i="3" a="1"/>
  <c r="I77" i="3" s="1"/>
  <c r="J77" i="3" s="1"/>
  <c r="I78" i="3" a="1"/>
  <c r="I78" i="3" s="1"/>
  <c r="J78" i="3" s="1"/>
  <c r="I79" i="3" a="1"/>
  <c r="I79" i="3" s="1"/>
  <c r="J79" i="3" s="1"/>
  <c r="I80" i="3" a="1"/>
  <c r="I80" i="3" s="1"/>
  <c r="J80" i="3" s="1"/>
  <c r="I81" i="3" a="1"/>
  <c r="I81" i="3" s="1"/>
  <c r="J81" i="3" s="1"/>
  <c r="I82" i="3" a="1"/>
  <c r="I82" i="3" s="1"/>
  <c r="J82" i="3" s="1"/>
  <c r="I83" i="3" a="1"/>
  <c r="I83" i="3" s="1"/>
  <c r="J83" i="3" s="1"/>
  <c r="I84" i="3" a="1"/>
  <c r="I84" i="3" s="1"/>
  <c r="J84" i="3" s="1"/>
  <c r="I85" i="3" a="1"/>
  <c r="I85" i="3" s="1"/>
  <c r="J85" i="3" s="1"/>
  <c r="I86" i="3" a="1"/>
  <c r="I86" i="3" s="1"/>
  <c r="J86" i="3" s="1"/>
  <c r="I87" i="3" a="1"/>
  <c r="I87" i="3" s="1"/>
  <c r="J87" i="3" s="1"/>
  <c r="I88" i="3" a="1"/>
  <c r="I88" i="3" s="1"/>
  <c r="J88" i="3" s="1"/>
  <c r="I89" i="3" a="1"/>
  <c r="I89" i="3" s="1"/>
  <c r="J89" i="3" s="1"/>
  <c r="I90" i="3" a="1"/>
  <c r="I90" i="3" s="1"/>
  <c r="J90" i="3" s="1"/>
  <c r="I91" i="3" a="1"/>
  <c r="I91" i="3" s="1"/>
  <c r="J91" i="3" s="1"/>
  <c r="I92" i="3" a="1"/>
  <c r="I92" i="3" s="1"/>
  <c r="J92" i="3" s="1"/>
  <c r="I93" i="3" a="1"/>
  <c r="I93" i="3" s="1"/>
  <c r="J93" i="3" s="1"/>
  <c r="I94" i="3" a="1"/>
  <c r="I94" i="3" s="1"/>
  <c r="J94" i="3" s="1"/>
  <c r="I95" i="3" a="1"/>
  <c r="I95" i="3" s="1"/>
  <c r="J95" i="3" s="1"/>
  <c r="I96" i="3" a="1"/>
  <c r="I96" i="3" s="1"/>
  <c r="J96" i="3" s="1"/>
  <c r="I97" i="3" a="1"/>
  <c r="I97" i="3" s="1"/>
  <c r="J97" i="3" s="1"/>
  <c r="I98" i="3" a="1"/>
  <c r="I98" i="3" s="1"/>
  <c r="J98" i="3" s="1"/>
  <c r="I99" i="3" a="1"/>
  <c r="I99" i="3" s="1"/>
  <c r="J99" i="3" s="1"/>
  <c r="I100" i="3" a="1"/>
  <c r="I100" i="3" s="1"/>
  <c r="J100" i="3" s="1"/>
  <c r="I101" i="3" a="1"/>
  <c r="I101" i="3" s="1"/>
  <c r="J101" i="3" s="1"/>
  <c r="I102" i="3" a="1"/>
  <c r="I102" i="3" s="1"/>
  <c r="J102" i="3" s="1"/>
  <c r="I103" i="3" a="1"/>
  <c r="I103" i="3" s="1"/>
  <c r="J103" i="3" s="1"/>
  <c r="I104" i="3" a="1"/>
  <c r="I104" i="3" s="1"/>
  <c r="J104" i="3" s="1"/>
  <c r="I105" i="3" a="1"/>
  <c r="I105" i="3" s="1"/>
  <c r="J105" i="3" s="1"/>
  <c r="I106" i="3" a="1"/>
  <c r="I106" i="3" s="1"/>
  <c r="J106" i="3" s="1"/>
  <c r="I107" i="3" a="1"/>
  <c r="I107" i="3" s="1"/>
  <c r="J107" i="3" s="1"/>
  <c r="I108" i="3" a="1"/>
  <c r="I108" i="3" s="1"/>
  <c r="J108" i="3" s="1"/>
  <c r="I109" i="3" a="1"/>
  <c r="I109" i="3" s="1"/>
  <c r="J109" i="3" s="1"/>
  <c r="I110" i="3" a="1"/>
  <c r="I110" i="3" s="1"/>
  <c r="J110" i="3" s="1"/>
  <c r="I111" i="3" a="1"/>
  <c r="I111" i="3" s="1"/>
  <c r="J111" i="3" s="1"/>
  <c r="I112" i="3" a="1"/>
  <c r="I112" i="3" s="1"/>
  <c r="J112" i="3" s="1"/>
  <c r="I113" i="3" a="1"/>
  <c r="I113" i="3" s="1"/>
  <c r="J113" i="3" s="1"/>
  <c r="I114" i="3" a="1"/>
  <c r="I114" i="3" s="1"/>
  <c r="J114" i="3" s="1"/>
  <c r="I115" i="3" a="1"/>
  <c r="I115" i="3" s="1"/>
  <c r="J115" i="3" s="1"/>
  <c r="I116" i="3" a="1"/>
  <c r="I116" i="3" s="1"/>
  <c r="J116" i="3" s="1"/>
  <c r="I117" i="3" a="1"/>
  <c r="I117" i="3" s="1"/>
  <c r="J117" i="3" s="1"/>
  <c r="I118" i="3" a="1"/>
  <c r="I118" i="3" s="1"/>
  <c r="J118" i="3" s="1"/>
  <c r="I119" i="3" a="1"/>
  <c r="I119" i="3" s="1"/>
  <c r="J119" i="3" s="1"/>
  <c r="I120" i="3" a="1"/>
  <c r="I120" i="3" s="1"/>
  <c r="J120" i="3" s="1"/>
  <c r="I121" i="3" a="1"/>
  <c r="I121" i="3" s="1"/>
  <c r="J121" i="3" s="1"/>
  <c r="I122" i="3" a="1"/>
  <c r="I122" i="3" s="1"/>
  <c r="J122" i="3" s="1"/>
  <c r="I123" i="3" a="1"/>
  <c r="I123" i="3" s="1"/>
  <c r="J123" i="3" s="1"/>
  <c r="I124" i="3" a="1"/>
  <c r="I124" i="3" s="1"/>
  <c r="J124" i="3" s="1"/>
  <c r="I125" i="3" a="1"/>
  <c r="I125" i="3" s="1"/>
  <c r="J125" i="3" s="1"/>
  <c r="I126" i="3" a="1"/>
  <c r="I126" i="3" s="1"/>
  <c r="J126" i="3" s="1"/>
  <c r="I127" i="3" a="1"/>
  <c r="I127" i="3" s="1"/>
  <c r="J127" i="3" s="1"/>
  <c r="I128" i="3" a="1"/>
  <c r="I128" i="3" s="1"/>
  <c r="J128" i="3" s="1"/>
  <c r="I129" i="3" a="1"/>
  <c r="I129" i="3" s="1"/>
  <c r="J129" i="3" s="1"/>
  <c r="I130" i="3" a="1"/>
  <c r="I130" i="3" s="1"/>
  <c r="J130" i="3" s="1"/>
  <c r="I131" i="3" a="1"/>
  <c r="I131" i="3" s="1"/>
  <c r="J131" i="3" s="1"/>
  <c r="I132" i="3" a="1"/>
  <c r="I132" i="3" s="1"/>
  <c r="J132" i="3" s="1"/>
  <c r="I133" i="3" a="1"/>
  <c r="I133" i="3" s="1"/>
  <c r="J133" i="3" s="1"/>
  <c r="I134" i="3" a="1"/>
  <c r="I134" i="3" s="1"/>
  <c r="J134" i="3" s="1"/>
  <c r="I135" i="3" a="1"/>
  <c r="I135" i="3" s="1"/>
  <c r="J135" i="3" s="1"/>
  <c r="I136" i="3" a="1"/>
  <c r="I136" i="3" s="1"/>
  <c r="J136" i="3" s="1"/>
  <c r="I137" i="3" a="1"/>
  <c r="I137" i="3" s="1"/>
  <c r="J137" i="3" s="1"/>
  <c r="I138" i="3" a="1"/>
  <c r="I138" i="3" s="1"/>
  <c r="J138" i="3" s="1"/>
  <c r="I139" i="3" a="1"/>
  <c r="I139" i="3" s="1"/>
  <c r="J139" i="3" s="1"/>
  <c r="I140" i="3" a="1"/>
  <c r="I140" i="3" s="1"/>
  <c r="J140" i="3" s="1"/>
  <c r="I141" i="3" a="1"/>
  <c r="I141" i="3" s="1"/>
  <c r="J141" i="3" s="1"/>
  <c r="I142" i="3" a="1"/>
  <c r="I142" i="3" s="1"/>
  <c r="J142" i="3" s="1"/>
  <c r="I143" i="3" a="1"/>
  <c r="I143" i="3" s="1"/>
  <c r="J143" i="3" s="1"/>
  <c r="I144" i="3" a="1"/>
  <c r="I144" i="3" s="1"/>
  <c r="J144" i="3" s="1"/>
  <c r="I145" i="3" a="1"/>
  <c r="I145" i="3" s="1"/>
  <c r="J145" i="3" s="1"/>
  <c r="I146" i="3" a="1"/>
  <c r="I146" i="3" s="1"/>
  <c r="J146" i="3" s="1"/>
  <c r="I147" i="3" a="1"/>
  <c r="I147" i="3" s="1"/>
  <c r="J147" i="3" s="1"/>
  <c r="I148" i="3" a="1"/>
  <c r="I148" i="3" s="1"/>
  <c r="J148" i="3" s="1"/>
  <c r="I149" i="3" a="1"/>
  <c r="I149" i="3" s="1"/>
  <c r="J149" i="3" s="1"/>
  <c r="I150" i="3" a="1"/>
  <c r="I150" i="3" s="1"/>
  <c r="J150" i="3" s="1"/>
  <c r="I151" i="3" a="1"/>
  <c r="I151" i="3" s="1"/>
  <c r="J151" i="3" s="1"/>
  <c r="I152" i="3" a="1"/>
  <c r="I152" i="3" s="1"/>
  <c r="J152" i="3" s="1"/>
  <c r="I153" i="3" a="1"/>
  <c r="I153" i="3" s="1"/>
  <c r="J153" i="3" s="1"/>
  <c r="I154" i="3" a="1"/>
  <c r="I154" i="3" s="1"/>
  <c r="J154" i="3" s="1"/>
  <c r="I155" i="3" a="1"/>
  <c r="I155" i="3" s="1"/>
  <c r="J155" i="3" s="1"/>
  <c r="I156" i="3" a="1"/>
  <c r="I156" i="3" s="1"/>
  <c r="J156" i="3" s="1"/>
  <c r="I157" i="3" a="1"/>
  <c r="I157" i="3" s="1"/>
  <c r="J157" i="3" s="1"/>
  <c r="I158" i="3" a="1"/>
  <c r="I158" i="3" s="1"/>
  <c r="J158" i="3" s="1"/>
  <c r="I159" i="3" a="1"/>
  <c r="I159" i="3" s="1"/>
  <c r="J159" i="3" s="1"/>
  <c r="I160" i="3" a="1"/>
  <c r="I160" i="3" s="1"/>
  <c r="J160" i="3" s="1"/>
  <c r="I161" i="3" a="1"/>
  <c r="I161" i="3" s="1"/>
  <c r="J161" i="3" s="1"/>
  <c r="I162" i="3" a="1"/>
  <c r="I162" i="3" s="1"/>
  <c r="J162" i="3" s="1"/>
  <c r="I163" i="3" a="1"/>
  <c r="I163" i="3" s="1"/>
  <c r="J163" i="3" s="1"/>
  <c r="I164" i="3" a="1"/>
  <c r="I164" i="3" s="1"/>
  <c r="J164" i="3" s="1"/>
  <c r="I165" i="3" a="1"/>
  <c r="I165" i="3" s="1"/>
  <c r="J165" i="3" s="1"/>
  <c r="I166" i="3" a="1"/>
  <c r="I166" i="3" s="1"/>
  <c r="J166" i="3" s="1"/>
  <c r="I167" i="3" a="1"/>
  <c r="I167" i="3" s="1"/>
  <c r="J167" i="3" s="1"/>
  <c r="I168" i="3" a="1"/>
  <c r="I168" i="3" s="1"/>
  <c r="J168" i="3" s="1"/>
  <c r="I169" i="3" a="1"/>
  <c r="I169" i="3" s="1"/>
  <c r="J169" i="3" s="1"/>
  <c r="I170" i="3" a="1"/>
  <c r="I170" i="3" s="1"/>
  <c r="J170" i="3" s="1"/>
  <c r="I171" i="3" a="1"/>
  <c r="I171" i="3" s="1"/>
  <c r="J171" i="3" s="1"/>
  <c r="I172" i="3" a="1"/>
  <c r="I172" i="3" s="1"/>
  <c r="J172" i="3" s="1"/>
  <c r="I173" i="3" a="1"/>
  <c r="I173" i="3" s="1"/>
  <c r="J173" i="3" s="1"/>
  <c r="I174" i="3" a="1"/>
  <c r="I174" i="3" s="1"/>
  <c r="J174" i="3" s="1"/>
  <c r="I175" i="3" a="1"/>
  <c r="I175" i="3" s="1"/>
  <c r="J175" i="3" s="1"/>
  <c r="I176" i="3" a="1"/>
  <c r="I176" i="3" s="1"/>
  <c r="J176" i="3" s="1"/>
  <c r="I177" i="3" a="1"/>
  <c r="I177" i="3" s="1"/>
  <c r="J177" i="3" s="1"/>
  <c r="I178" i="3" a="1"/>
  <c r="I178" i="3" s="1"/>
  <c r="J178" i="3" s="1"/>
  <c r="I179" i="3" a="1"/>
  <c r="I179" i="3" s="1"/>
  <c r="J179" i="3" s="1"/>
  <c r="I180" i="3" a="1"/>
  <c r="I180" i="3" s="1"/>
  <c r="J180" i="3" s="1"/>
  <c r="I181" i="3" a="1"/>
  <c r="I181" i="3" s="1"/>
  <c r="J181" i="3" s="1"/>
  <c r="I182" i="3" a="1"/>
  <c r="I182" i="3" s="1"/>
  <c r="J182" i="3" s="1"/>
  <c r="I183" i="3" a="1"/>
  <c r="I183" i="3" s="1"/>
  <c r="J183" i="3" s="1"/>
  <c r="I184" i="3" a="1"/>
  <c r="I184" i="3" s="1"/>
  <c r="J184" i="3" s="1"/>
  <c r="I185" i="3" a="1"/>
  <c r="I185" i="3" s="1"/>
  <c r="J185" i="3" s="1"/>
  <c r="I186" i="3" a="1"/>
  <c r="I186" i="3" s="1"/>
  <c r="J186" i="3" s="1"/>
  <c r="I187" i="3" a="1"/>
  <c r="I187" i="3" s="1"/>
  <c r="J187" i="3" s="1"/>
  <c r="I188" i="3" a="1"/>
  <c r="I188" i="3" s="1"/>
  <c r="J188" i="3" s="1"/>
  <c r="I189" i="3" a="1"/>
  <c r="I189" i="3" s="1"/>
  <c r="J189" i="3" s="1"/>
  <c r="I190" i="3" a="1"/>
  <c r="I190" i="3" s="1"/>
  <c r="J190" i="3" s="1"/>
  <c r="I191" i="3" a="1"/>
  <c r="I191" i="3" s="1"/>
  <c r="J191" i="3" s="1"/>
  <c r="I192" i="3" a="1"/>
  <c r="I192" i="3" s="1"/>
  <c r="J19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<sst xmlns="http://schemas.openxmlformats.org/spreadsheetml/2006/main" count="1895" uniqueCount="495">
  <si>
    <t>Order ID</t>
  </si>
  <si>
    <t>Order Date</t>
  </si>
  <si>
    <t>Quantity</t>
  </si>
  <si>
    <t>ORD1001</t>
  </si>
  <si>
    <t>Peter Johnson</t>
  </si>
  <si>
    <t>Lagos</t>
  </si>
  <si>
    <t>Electronics</t>
  </si>
  <si>
    <t>ELEC-1002-Y-Bluetooth Speaker</t>
  </si>
  <si>
    <t>Credit Card</t>
  </si>
  <si>
    <t>ORD1002</t>
  </si>
  <si>
    <t>Daniel Anderson</t>
  </si>
  <si>
    <t>London</t>
  </si>
  <si>
    <t>Beauty</t>
  </si>
  <si>
    <t>BEAU-4001-C-Face Serum</t>
  </si>
  <si>
    <t>Shipped</t>
  </si>
  <si>
    <t>ORD1003</t>
  </si>
  <si>
    <t>Aisha Garcia</t>
  </si>
  <si>
    <t>Ghana</t>
  </si>
  <si>
    <t>Accra</t>
  </si>
  <si>
    <t>HOME-2001-A-Air Fryer</t>
  </si>
  <si>
    <t>2025-05-04</t>
  </si>
  <si>
    <t>ORD1004</t>
  </si>
  <si>
    <t>Daniel Johnson</t>
  </si>
  <si>
    <t>South Africa</t>
  </si>
  <si>
    <t>Cape Town</t>
  </si>
  <si>
    <t>2025-02-19</t>
  </si>
  <si>
    <t>ORD1005</t>
  </si>
  <si>
    <t>Ahmed Garcia</t>
  </si>
  <si>
    <t>Kano</t>
  </si>
  <si>
    <t>ELEC-1001-X-Wireless Mouse</t>
  </si>
  <si>
    <t>Cash</t>
  </si>
  <si>
    <t>Complete</t>
  </si>
  <si>
    <t>ORD1006</t>
  </si>
  <si>
    <t>Grace Thomas</t>
  </si>
  <si>
    <t>Kenya</t>
  </si>
  <si>
    <t>Nairobi</t>
  </si>
  <si>
    <t>2025-10-13</t>
  </si>
  <si>
    <t>ORD1007</t>
  </si>
  <si>
    <t>Ahmed Rauf</t>
  </si>
  <si>
    <t>United Kingdom</t>
  </si>
  <si>
    <t>PayPal</t>
  </si>
  <si>
    <t>2025-05-20</t>
  </si>
  <si>
    <t>ORD1008</t>
  </si>
  <si>
    <t>David Wilson</t>
  </si>
  <si>
    <t>Fashion</t>
  </si>
  <si>
    <t>Delivered</t>
  </si>
  <si>
    <t>2025-10-08</t>
  </si>
  <si>
    <t>ORD1009</t>
  </si>
  <si>
    <t>Sophia Johnson</t>
  </si>
  <si>
    <t>FASH-3001-B-Running Shoes</t>
  </si>
  <si>
    <t>Bank Transfer</t>
  </si>
  <si>
    <t>ORD1010</t>
  </si>
  <si>
    <t>Peter Taylor</t>
  </si>
  <si>
    <t>Cancelled</t>
  </si>
  <si>
    <t>2025-12-01</t>
  </si>
  <si>
    <t>ORD1011</t>
  </si>
  <si>
    <t>2025-11-24</t>
  </si>
  <si>
    <t>Sophia Thomas</t>
  </si>
  <si>
    <t>Nigeria</t>
  </si>
  <si>
    <t>ORD1012</t>
  </si>
  <si>
    <t>Samuel Rauf</t>
  </si>
  <si>
    <t>ORD1013</t>
  </si>
  <si>
    <t>Daniel Brown</t>
  </si>
  <si>
    <t>ORD1014</t>
  </si>
  <si>
    <t>Samuel Taylor</t>
  </si>
  <si>
    <t>ORD1015</t>
  </si>
  <si>
    <t>Sarah Johnson</t>
  </si>
  <si>
    <t>Pending</t>
  </si>
  <si>
    <t>ORD1016</t>
  </si>
  <si>
    <t>Ahmed Davis</t>
  </si>
  <si>
    <t>ORD1017</t>
  </si>
  <si>
    <t>Home &amp; Kitchen</t>
  </si>
  <si>
    <t>ORD1018</t>
  </si>
  <si>
    <t>Ahmed Taylor</t>
  </si>
  <si>
    <t>2025-02-06</t>
  </si>
  <si>
    <t>ORD1019</t>
  </si>
  <si>
    <t>David Miller</t>
  </si>
  <si>
    <t>ORD1020</t>
  </si>
  <si>
    <t>Linda Taylor</t>
  </si>
  <si>
    <t>2025-06-11</t>
  </si>
  <si>
    <t>ORD1021</t>
  </si>
  <si>
    <t>Mary Thomas</t>
  </si>
  <si>
    <t>2025-07-28</t>
  </si>
  <si>
    <t>ORD1022</t>
  </si>
  <si>
    <t>2025-12-09</t>
  </si>
  <si>
    <t>ORD1023</t>
  </si>
  <si>
    <t>ORD1024</t>
  </si>
  <si>
    <t>Linda Garcia</t>
  </si>
  <si>
    <t>2025-12-10</t>
  </si>
  <si>
    <t>ORD1025</t>
  </si>
  <si>
    <t>Michael Garcia</t>
  </si>
  <si>
    <t>ORD1026</t>
  </si>
  <si>
    <t>Sophia Garcia</t>
  </si>
  <si>
    <t>ORD1027</t>
  </si>
  <si>
    <t>Daniel Smith</t>
  </si>
  <si>
    <t>ORD1028</t>
  </si>
  <si>
    <t>2025-11-26</t>
  </si>
  <si>
    <t>ORD1029</t>
  </si>
  <si>
    <t>2025-07-29</t>
  </si>
  <si>
    <t>ORD1030</t>
  </si>
  <si>
    <t>Peter Wilson</t>
  </si>
  <si>
    <t>2025-06-23</t>
  </si>
  <si>
    <t>ORD1031</t>
  </si>
  <si>
    <t>Michael Smith</t>
  </si>
  <si>
    <t>2025-11-09</t>
  </si>
  <si>
    <t>ORD1032</t>
  </si>
  <si>
    <t>John Taylor</t>
  </si>
  <si>
    <t>2025-12-30</t>
  </si>
  <si>
    <t>ORD1033</t>
  </si>
  <si>
    <t>Daniel Garcia</t>
  </si>
  <si>
    <t>2025-08-04</t>
  </si>
  <si>
    <t>ORD1034</t>
  </si>
  <si>
    <t>2025-01-06</t>
  </si>
  <si>
    <t>ORD1035</t>
  </si>
  <si>
    <t>Daniel Davis</t>
  </si>
  <si>
    <t>2025-12-06</t>
  </si>
  <si>
    <t>ORD1036</t>
  </si>
  <si>
    <t>Sarah Wilson</t>
  </si>
  <si>
    <t>2025-01-14</t>
  </si>
  <si>
    <t>ORD1037</t>
  </si>
  <si>
    <t>Fatima Miller</t>
  </si>
  <si>
    <t>2025-03-28</t>
  </si>
  <si>
    <t>ORD1038</t>
  </si>
  <si>
    <t>David Davis</t>
  </si>
  <si>
    <t>ORD1039</t>
  </si>
  <si>
    <t>Fatima Garcia</t>
  </si>
  <si>
    <t>2025-11-28</t>
  </si>
  <si>
    <t>ORD1040</t>
  </si>
  <si>
    <t>Aisha Taylor</t>
  </si>
  <si>
    <t>2025-03-15</t>
  </si>
  <si>
    <t>ORD1041</t>
  </si>
  <si>
    <t>John Wilson</t>
  </si>
  <si>
    <t>2025-08-01</t>
  </si>
  <si>
    <t>ORD1042</t>
  </si>
  <si>
    <t>Daniel Martin</t>
  </si>
  <si>
    <t>ORD1043</t>
  </si>
  <si>
    <t>Sophia Davis</t>
  </si>
  <si>
    <t>ORD1044</t>
  </si>
  <si>
    <t>Michael Miller</t>
  </si>
  <si>
    <t>2025-04-27</t>
  </si>
  <si>
    <t>ORD1045</t>
  </si>
  <si>
    <t>2025-07-03</t>
  </si>
  <si>
    <t>ORD1046</t>
  </si>
  <si>
    <t>2025-04-30</t>
  </si>
  <si>
    <t>ORD1047</t>
  </si>
  <si>
    <t>ORD1048</t>
  </si>
  <si>
    <t>Ahmed Smith</t>
  </si>
  <si>
    <t>2025-10-07</t>
  </si>
  <si>
    <t>ORD1049</t>
  </si>
  <si>
    <t>Peter Davis</t>
  </si>
  <si>
    <t>2025-08-14</t>
  </si>
  <si>
    <t>ORD1050</t>
  </si>
  <si>
    <t>Aisha Wilson</t>
  </si>
  <si>
    <t>ORD1051</t>
  </si>
  <si>
    <t>2025-06-29</t>
  </si>
  <si>
    <t>ORD1052</t>
  </si>
  <si>
    <t>Ahmed Wilson</t>
  </si>
  <si>
    <t>ORD1053</t>
  </si>
  <si>
    <t>Aisha Davis</t>
  </si>
  <si>
    <t>2025-10-05</t>
  </si>
  <si>
    <t>ORD1054</t>
  </si>
  <si>
    <t>Aisha Johnson</t>
  </si>
  <si>
    <t>ORD1055</t>
  </si>
  <si>
    <t>Aisha Brown</t>
  </si>
  <si>
    <t>2025-01-20</t>
  </si>
  <si>
    <t>ORD1056</t>
  </si>
  <si>
    <t>2025-06-03</t>
  </si>
  <si>
    <t>ORD1057</t>
  </si>
  <si>
    <t>Mary Anderson</t>
  </si>
  <si>
    <t>2025-12-19</t>
  </si>
  <si>
    <t>ORD1058</t>
  </si>
  <si>
    <t>2025-10-02</t>
  </si>
  <si>
    <t>ORD1059</t>
  </si>
  <si>
    <t>2025-04-24</t>
  </si>
  <si>
    <t>ORD1060</t>
  </si>
  <si>
    <t>ORD1061</t>
  </si>
  <si>
    <t>Samuel Garcia</t>
  </si>
  <si>
    <t>2025-02-07</t>
  </si>
  <si>
    <t>ORD1062</t>
  </si>
  <si>
    <t>Michael Taylor</t>
  </si>
  <si>
    <t>2025-09-18</t>
  </si>
  <si>
    <t>ORD1063</t>
  </si>
  <si>
    <t>Grace Smith</t>
  </si>
  <si>
    <t>Abuja</t>
  </si>
  <si>
    <t>2025-10-24</t>
  </si>
  <si>
    <t>ORD1064</t>
  </si>
  <si>
    <t>Fatima Rauf</t>
  </si>
  <si>
    <t>2025-06-26</t>
  </si>
  <si>
    <t>ORD1065</t>
  </si>
  <si>
    <t>Mary Rauf</t>
  </si>
  <si>
    <t>2025-06-17</t>
  </si>
  <si>
    <t>ORD1066</t>
  </si>
  <si>
    <t>Grace Davis</t>
  </si>
  <si>
    <t>2025-08-28</t>
  </si>
  <si>
    <t>ORD1067</t>
  </si>
  <si>
    <t>2025-06-18</t>
  </si>
  <si>
    <t>ORD1068</t>
  </si>
  <si>
    <t>2025-08-15</t>
  </si>
  <si>
    <t>ORD1069</t>
  </si>
  <si>
    <t>2025-08-07</t>
  </si>
  <si>
    <t>ORD1070</t>
  </si>
  <si>
    <t>Aisha Rauf</t>
  </si>
  <si>
    <t>ORD1071</t>
  </si>
  <si>
    <t>Linda Davis</t>
  </si>
  <si>
    <t>ORD1072</t>
  </si>
  <si>
    <t>Samuel Davis</t>
  </si>
  <si>
    <t>2025-03-22</t>
  </si>
  <si>
    <t>ORD1073</t>
  </si>
  <si>
    <t>James Rauf</t>
  </si>
  <si>
    <t>2025-09-21</t>
  </si>
  <si>
    <t>ORD1074</t>
  </si>
  <si>
    <t>Fatima Brown</t>
  </si>
  <si>
    <t>2025-01-16</t>
  </si>
  <si>
    <t>ORD1075</t>
  </si>
  <si>
    <t>David Brown</t>
  </si>
  <si>
    <t>2025-11-06</t>
  </si>
  <si>
    <t>ORD1076</t>
  </si>
  <si>
    <t>Michael Thomas</t>
  </si>
  <si>
    <t>2025-09-01</t>
  </si>
  <si>
    <t>ORD1077</t>
  </si>
  <si>
    <t>2025-07-30</t>
  </si>
  <si>
    <t>ORD1078</t>
  </si>
  <si>
    <t>2025-12-31</t>
  </si>
  <si>
    <t>ORD1079</t>
  </si>
  <si>
    <t>Peter Martin</t>
  </si>
  <si>
    <t>2025-12-29</t>
  </si>
  <si>
    <t>ORD1080</t>
  </si>
  <si>
    <t>Mary Garcia</t>
  </si>
  <si>
    <t>ORD1081</t>
  </si>
  <si>
    <t>Linda Rauf</t>
  </si>
  <si>
    <t>ORD1082</t>
  </si>
  <si>
    <t>2025-07-19</t>
  </si>
  <si>
    <t>ORD1083</t>
  </si>
  <si>
    <t>Samuel Anderson</t>
  </si>
  <si>
    <t>2025-11-30</t>
  </si>
  <si>
    <t>ORD1084</t>
  </si>
  <si>
    <t>2025-07-26</t>
  </si>
  <si>
    <t>ORD1085</t>
  </si>
  <si>
    <t>ORD1086</t>
  </si>
  <si>
    <t>ORD1087</t>
  </si>
  <si>
    <t>2025-05-06</t>
  </si>
  <si>
    <t>ORD1088</t>
  </si>
  <si>
    <t>David Smith</t>
  </si>
  <si>
    <t>2025-05-12</t>
  </si>
  <si>
    <t>ORD1089</t>
  </si>
  <si>
    <t>2025-11-02</t>
  </si>
  <si>
    <t>ORD1090</t>
  </si>
  <si>
    <t>Sophia Miller</t>
  </si>
  <si>
    <t>2025-12-20</t>
  </si>
  <si>
    <t>ORD1091</t>
  </si>
  <si>
    <t>2025-07-25</t>
  </si>
  <si>
    <t>ORD1092</t>
  </si>
  <si>
    <t>2025-08-24</t>
  </si>
  <si>
    <t>ORD1093</t>
  </si>
  <si>
    <t>ORD1094</t>
  </si>
  <si>
    <t>2025-08-19</t>
  </si>
  <si>
    <t>ORD1095</t>
  </si>
  <si>
    <t>2025-03-13</t>
  </si>
  <si>
    <t>ORD1096</t>
  </si>
  <si>
    <t>David Garcia</t>
  </si>
  <si>
    <t>ORD1097</t>
  </si>
  <si>
    <t>ORD1098</t>
  </si>
  <si>
    <t>2025-08-26</t>
  </si>
  <si>
    <t>ORD1099</t>
  </si>
  <si>
    <t>2025-09-16</t>
  </si>
  <si>
    <t>ORD1100</t>
  </si>
  <si>
    <t>Michael Rauf</t>
  </si>
  <si>
    <t>2025-01-01</t>
  </si>
  <si>
    <t>ORD1101</t>
  </si>
  <si>
    <t>John Davis</t>
  </si>
  <si>
    <t>2025-06-20</t>
  </si>
  <si>
    <t>ORD1102</t>
  </si>
  <si>
    <t>2025-02-22</t>
  </si>
  <si>
    <t>ORD1103</t>
  </si>
  <si>
    <t>Sarah Rauf</t>
  </si>
  <si>
    <t>2025-02-18</t>
  </si>
  <si>
    <t>ORD1104</t>
  </si>
  <si>
    <t>David Anderson</t>
  </si>
  <si>
    <t>2025-12-04</t>
  </si>
  <si>
    <t>ORD1105</t>
  </si>
  <si>
    <t>Aisha Thomas</t>
  </si>
  <si>
    <t>2025-03-27</t>
  </si>
  <si>
    <t>ORD1106</t>
  </si>
  <si>
    <t>Fatima Smith</t>
  </si>
  <si>
    <t>2025-07-22</t>
  </si>
  <si>
    <t>ORD1107</t>
  </si>
  <si>
    <t>Fatima Anderson</t>
  </si>
  <si>
    <t>2025-04-13</t>
  </si>
  <si>
    <t>ORD1108</t>
  </si>
  <si>
    <t>Daniel Thomas</t>
  </si>
  <si>
    <t>ORD1109</t>
  </si>
  <si>
    <t>Peter Anderson</t>
  </si>
  <si>
    <t>ORD1110</t>
  </si>
  <si>
    <t>ORD1111</t>
  </si>
  <si>
    <t>Sophia Brown</t>
  </si>
  <si>
    <t>2026-01-09</t>
  </si>
  <si>
    <t>ORD1112</t>
  </si>
  <si>
    <t>2025-04-29</t>
  </si>
  <si>
    <t>ORD1113</t>
  </si>
  <si>
    <t>James Brown</t>
  </si>
  <si>
    <t>2025-04-17</t>
  </si>
  <si>
    <t>ORD1114</t>
  </si>
  <si>
    <t>Michael Martin</t>
  </si>
  <si>
    <t>2025-05-09</t>
  </si>
  <si>
    <t>ORD1115</t>
  </si>
  <si>
    <t>ORD1116</t>
  </si>
  <si>
    <t>2025-05-28</t>
  </si>
  <si>
    <t>ORD1117</t>
  </si>
  <si>
    <t>James Smith</t>
  </si>
  <si>
    <t>ORD1118</t>
  </si>
  <si>
    <t>Ahmed Brown</t>
  </si>
  <si>
    <t>2025-01-25</t>
  </si>
  <si>
    <t>ORD1119</t>
  </si>
  <si>
    <t>ORD1120</t>
  </si>
  <si>
    <t>Mary Davis</t>
  </si>
  <si>
    <t>2025-10-03</t>
  </si>
  <si>
    <t>ORD1121</t>
  </si>
  <si>
    <t>2025-12-11</t>
  </si>
  <si>
    <t>ORD1122</t>
  </si>
  <si>
    <t>2025-07-15</t>
  </si>
  <si>
    <t>ORD1123</t>
  </si>
  <si>
    <t>2025-12-25</t>
  </si>
  <si>
    <t>ORD1124</t>
  </si>
  <si>
    <t>2025-08-06</t>
  </si>
  <si>
    <t>ORD1125</t>
  </si>
  <si>
    <t>Michael Johnson</t>
  </si>
  <si>
    <t>2025-08-09</t>
  </si>
  <si>
    <t>ORD1126</t>
  </si>
  <si>
    <t>Linda Miller</t>
  </si>
  <si>
    <t>ORD1127</t>
  </si>
  <si>
    <t>2025-12-28</t>
  </si>
  <si>
    <t>ORD1128</t>
  </si>
  <si>
    <t>2025-01-19</t>
  </si>
  <si>
    <t>ORD1129</t>
  </si>
  <si>
    <t>David Thomas</t>
  </si>
  <si>
    <t>ORD1130</t>
  </si>
  <si>
    <t>John Martin</t>
  </si>
  <si>
    <t>2025-09-22</t>
  </si>
  <si>
    <t>ORD1131</t>
  </si>
  <si>
    <t>Mary Brown</t>
  </si>
  <si>
    <t>2025-08-23</t>
  </si>
  <si>
    <t>ORD1132</t>
  </si>
  <si>
    <t>Linda Martin</t>
  </si>
  <si>
    <t>ORD1133</t>
  </si>
  <si>
    <t>Grace Rauf</t>
  </si>
  <si>
    <t>ORD1134</t>
  </si>
  <si>
    <t>2025-08-27</t>
  </si>
  <si>
    <t>ORD1135</t>
  </si>
  <si>
    <t>ORD1136</t>
  </si>
  <si>
    <t>2025-06-15</t>
  </si>
  <si>
    <t>ORD1137</t>
  </si>
  <si>
    <t>Aisha Anderson</t>
  </si>
  <si>
    <t>2025-01-17</t>
  </si>
  <si>
    <t>ORD1138</t>
  </si>
  <si>
    <t>2025-09-09</t>
  </si>
  <si>
    <t>ORD1139</t>
  </si>
  <si>
    <t>Grace Brown</t>
  </si>
  <si>
    <t>2025-06-25</t>
  </si>
  <si>
    <t>ORD1140</t>
  </si>
  <si>
    <t>2025-02-20</t>
  </si>
  <si>
    <t>ORD1141</t>
  </si>
  <si>
    <t>Sarah Brown</t>
  </si>
  <si>
    <t>2025-09-29</t>
  </si>
  <si>
    <t>ORD1142</t>
  </si>
  <si>
    <t>John Garcia</t>
  </si>
  <si>
    <t>2025-11-16</t>
  </si>
  <si>
    <t>ORD1143</t>
  </si>
  <si>
    <t>John Miller</t>
  </si>
  <si>
    <t>2025-10-28</t>
  </si>
  <si>
    <t>ORD1144</t>
  </si>
  <si>
    <t>2025-07-27</t>
  </si>
  <si>
    <t>ORD1145</t>
  </si>
  <si>
    <t>2025-10-01</t>
  </si>
  <si>
    <t>ORD1146</t>
  </si>
  <si>
    <t>2025-09-27</t>
  </si>
  <si>
    <t>ORD1147</t>
  </si>
  <si>
    <t>Ahmed Martin</t>
  </si>
  <si>
    <t>2025-01-24</t>
  </si>
  <si>
    <t>ORD1148</t>
  </si>
  <si>
    <t>2025-07-17</t>
  </si>
  <si>
    <t>ORD1149</t>
  </si>
  <si>
    <t>Linda Wilson</t>
  </si>
  <si>
    <t>ORD1150</t>
  </si>
  <si>
    <t>2025-08-21</t>
  </si>
  <si>
    <t>ORD1151</t>
  </si>
  <si>
    <t>Sarah Garcia</t>
  </si>
  <si>
    <t>ORD1152</t>
  </si>
  <si>
    <t>Samuel Miller</t>
  </si>
  <si>
    <t>2025-03-21</t>
  </si>
  <si>
    <t>ORD1153</t>
  </si>
  <si>
    <t>2025-10-27</t>
  </si>
  <si>
    <t>ORD1154</t>
  </si>
  <si>
    <t>John Johnson</t>
  </si>
  <si>
    <t>2025-07-01</t>
  </si>
  <si>
    <t>ORD1155</t>
  </si>
  <si>
    <t>2025-06-07</t>
  </si>
  <si>
    <t>ORD1156</t>
  </si>
  <si>
    <t>2025-05-30</t>
  </si>
  <si>
    <t>ORD1157</t>
  </si>
  <si>
    <t>Samuel Brown</t>
  </si>
  <si>
    <t>2025-09-02</t>
  </si>
  <si>
    <t>ORD1158</t>
  </si>
  <si>
    <t>2025-11-23</t>
  </si>
  <si>
    <t>ORD1159</t>
  </si>
  <si>
    <t>ORD1160</t>
  </si>
  <si>
    <t>2025-06-10</t>
  </si>
  <si>
    <t>ORD1161</t>
  </si>
  <si>
    <t>2025-11-13</t>
  </si>
  <si>
    <t>ORD1162</t>
  </si>
  <si>
    <t>Fatima Taylor</t>
  </si>
  <si>
    <t>ORD1163</t>
  </si>
  <si>
    <t>2025-09-10</t>
  </si>
  <si>
    <t>ORD1164</t>
  </si>
  <si>
    <t>Peter Garcia</t>
  </si>
  <si>
    <t>ORD1165</t>
  </si>
  <si>
    <t>ORD1166</t>
  </si>
  <si>
    <t>Peter Thomas</t>
  </si>
  <si>
    <t>ORD1167</t>
  </si>
  <si>
    <t>Fatima Thomas</t>
  </si>
  <si>
    <t>ORD1168</t>
  </si>
  <si>
    <t>2025-04-18</t>
  </si>
  <si>
    <t>ORD1169</t>
  </si>
  <si>
    <t>Daniel Wilson</t>
  </si>
  <si>
    <t>ORD1170</t>
  </si>
  <si>
    <t>2025-05-22</t>
  </si>
  <si>
    <t>ORD1171</t>
  </si>
  <si>
    <t>ORD1172</t>
  </si>
  <si>
    <t>2025-10-22</t>
  </si>
  <si>
    <t>ORD1173</t>
  </si>
  <si>
    <t>Sophia Rauf</t>
  </si>
  <si>
    <t>2025-10-14</t>
  </si>
  <si>
    <t>ORD1174</t>
  </si>
  <si>
    <t>ORD1175</t>
  </si>
  <si>
    <t>Samuel Wilson</t>
  </si>
  <si>
    <t>ORD1176</t>
  </si>
  <si>
    <t>ORD1177</t>
  </si>
  <si>
    <t>2025-03-24</t>
  </si>
  <si>
    <t>ORD1178</t>
  </si>
  <si>
    <t>2025-03-31</t>
  </si>
  <si>
    <t>ORD1179</t>
  </si>
  <si>
    <t>2025-03-26</t>
  </si>
  <si>
    <t>ORD1180</t>
  </si>
  <si>
    <t>2025-09-08</t>
  </si>
  <si>
    <t>ORD1181</t>
  </si>
  <si>
    <t>2025-02-28</t>
  </si>
  <si>
    <t>ORD1182</t>
  </si>
  <si>
    <t>James Davis</t>
  </si>
  <si>
    <t>2025-05-17</t>
  </si>
  <si>
    <t>ORD1183</t>
  </si>
  <si>
    <t>John Thomas</t>
  </si>
  <si>
    <t>ORD1184</t>
  </si>
  <si>
    <t>ORD1185</t>
  </si>
  <si>
    <t>Samuel Johnson</t>
  </si>
  <si>
    <t>2025-04-04</t>
  </si>
  <si>
    <t>ORD1186</t>
  </si>
  <si>
    <t>2025-01-30</t>
  </si>
  <si>
    <t>ORD1187</t>
  </si>
  <si>
    <t>2025-05-03</t>
  </si>
  <si>
    <t>ORD1188</t>
  </si>
  <si>
    <t>ORD1189</t>
  </si>
  <si>
    <t>David Johnson</t>
  </si>
  <si>
    <t>ORD1190</t>
  </si>
  <si>
    <t>2025-01-12</t>
  </si>
  <si>
    <t>James Martin</t>
  </si>
  <si>
    <t>Grace Anderson</t>
  </si>
  <si>
    <t/>
  </si>
  <si>
    <t>Michael Brown</t>
  </si>
  <si>
    <t>Ahmed Anderson</t>
  </si>
  <si>
    <t>Sarah Anderson</t>
  </si>
  <si>
    <t>Fatima Martin</t>
  </si>
  <si>
    <t>Ahmed Miller</t>
  </si>
  <si>
    <t>Sarah Taylor</t>
  </si>
  <si>
    <t>Sarah Miller</t>
  </si>
  <si>
    <t>Sarah Davis</t>
  </si>
  <si>
    <t>Country_Name</t>
  </si>
  <si>
    <t>City _Name</t>
  </si>
  <si>
    <t>Product_Category</t>
  </si>
  <si>
    <t>Category _Code</t>
  </si>
  <si>
    <t>ELEC</t>
  </si>
  <si>
    <t>BEAU</t>
  </si>
  <si>
    <t>HOME</t>
  </si>
  <si>
    <t>FASH</t>
  </si>
  <si>
    <t>Product__Category</t>
  </si>
  <si>
    <t>Product_Category_Match</t>
  </si>
  <si>
    <t>Discount%</t>
  </si>
  <si>
    <t>Order Date&lt;Delivery Date</t>
  </si>
  <si>
    <t>Customer_Name</t>
  </si>
  <si>
    <t>Product_Name</t>
  </si>
  <si>
    <t>Unit _Price</t>
  </si>
  <si>
    <t>Total_Sales</t>
  </si>
  <si>
    <t>Payment_Method</t>
  </si>
  <si>
    <t>Order_Status</t>
  </si>
  <si>
    <t>Delivery_Date</t>
  </si>
  <si>
    <t>Customer_Rating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</si>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</sst>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mm/dd/yy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5" fillId="2" borderId="0" xfId="0" applyFont="1" applyFill="1"/>
    <xf numFmtId="0" fontId="6" fillId="0" borderId="1" xfId="0" applyFont="1" applyBorder="1" applyAlignment="1">
      <alignment horizontal="center" vertical="top"/>
    </xf>
    <xf numFmtId="0" fontId="2" fillId="0" borderId="0" xfId="0" applyFont="1"/>
    <xf numFmtId="164" fontId="4" fillId="0" borderId="0" xfId="0" applyNumberFormat="1" applyFont="1"/>
    <xf numFmtId="9" fontId="4" fillId="0" borderId="0" xfId="1" applyFont="1"/>
    <xf numFmtId="164" fontId="3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6" fillId="0" borderId="2" xfId="0" applyFont="1" applyBorder="1" applyAlignment="1">
      <alignment horizontal="center" vertical="top"/>
    </xf>
    <xf numFmtId="165" fontId="4" fillId="0" borderId="0" xfId="0" applyNumberFormat="1" applyFont="1"/>
    <xf numFmtId="165" fontId="5" fillId="0" borderId="0" xfId="0" applyNumberFormat="1" applyFont="1"/>
    <xf numFmtId="165" fontId="2" fillId="0" borderId="0" xfId="0" applyNumberFormat="1" applyFont="1"/>
    <xf numFmtId="0" fontId="1" fillId="0" borderId="0" xfId="0" applyFont="1"/>
  </cellXfs>
  <cellStyles count="2">
    <cellStyle name="Normal" xfId="0" builtinId="0"/>
    <cellStyle name="Per cent" xfId="1" builtinId="5"/>
  </cellStyles>
  <dxfs count="27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7CACA-42F3-4D9A-9558-2D4C35388997}" name="Table1" displayName="Table1" ref="A1:S192" totalsRowShown="0" headerRowDxfId="26" dataDxfId="25">
  <autoFilter ref="A1:S192" xr:uid="{E0D7CACA-42F3-4D9A-9558-2D4C35388997}"/>
  <tableColumns count="19">
    <tableColumn id="1" xr3:uid="{EDEDFA93-D1B3-4303-8CB8-4736BAB55763}" name="Order ID" dataDxfId="24"/>
    <tableColumn id="24" xr3:uid="{D9577DA3-91D9-4274-AB17-2E1041366E78}" name="Order Date" dataDxfId="23"/>
    <tableColumn id="3" xr3:uid="{1DC92A99-A8FE-4434-9D21-D3036FEB6A41}" name="Customer_Name" dataDxfId="22"/>
    <tableColumn id="4" xr3:uid="{5D631EBA-D80A-4B2B-988C-8D937C75F587}" name="Country_Name" dataDxfId="21"/>
    <tableColumn id="5" xr3:uid="{3A719EF6-CEED-4C6A-A339-13B010BD938E}" name="City _Name" dataDxfId="20"/>
    <tableColumn id="6" xr3:uid="{198366D1-79F3-4BE6-828A-A1551FBE959F}" name="Product_Category" dataDxfId="19"/>
    <tableColumn id="7" xr3:uid="{6BFCDB4E-71DF-423F-B98A-D4C3147947E1}" name="Product_Name" dataDxfId="18"/>
    <tableColumn id="8" xr3:uid="{4ED2426A-B6D7-4EB0-A5DC-CCBB2FCFE198}" name="Category _Code" dataDxfId="17"/>
    <tableColumn id="9" xr3:uid="{3568CAF5-5959-42B6-8304-AA15D7FB94D4}" name="Product__Category" dataDxfId="16">
      <calculatedColumnFormula array="1">_xlfn.SWITCH(H2,"ELEC","Electronics","BEAU","Beauty","HOME","Home &amp; Kitchen","FASH","Fashion")</calculatedColumnFormula>
    </tableColumn>
    <tableColumn id="10" xr3:uid="{4D3C8C5E-6017-4439-B024-402086A6C715}" name="Product_Category_Match" dataDxfId="15">
      <calculatedColumnFormula>IF(I2=F2,"Match","Mismatch")</calculatedColumnFormula>
    </tableColumn>
    <tableColumn id="11" xr3:uid="{F1249451-9C3A-4876-BCD3-BBC6E7116DDD}" name="Quantity" dataDxfId="14"/>
    <tableColumn id="12" xr3:uid="{04BD12D4-5466-413D-82F9-33DC50BE04E3}" name="Unit _Price" dataDxfId="13"/>
    <tableColumn id="13" xr3:uid="{4546BC5C-426B-4F42-BBF3-9B5B1E88EFC5}" name="Discount%" dataDxfId="12" dataCellStyle="Per cent"/>
    <tableColumn id="14" xr3:uid="{FA74F92D-FD19-46AD-9FC7-5469FE963E87}" name="Total_Sales" dataDxfId="11"/>
    <tableColumn id="15" xr3:uid="{B5A0D4C5-FB80-4CD5-B7BE-210ED386842B}" name="Payment_Method" dataDxfId="10"/>
    <tableColumn id="16" xr3:uid="{E48A9485-20BF-4F42-B4BC-C24AADBDE66F}" name="Order_Status" dataDxfId="9"/>
    <tableColumn id="17" xr3:uid="{F506169A-D05C-45E3-B9B4-949125D4CA5A}" name="Delivery_Date" dataDxfId="8"/>
    <tableColumn id="18" xr3:uid="{74EBE296-CE03-48B7-AE4B-27FD1A10C7BC}" name="Customer_Rating" dataDxfId="7"/>
    <tableColumn id="19" xr3:uid="{249357D0-08FE-48A6-BB37-44869C92AB00}" name="Order Date&lt;Delivery Date">
      <calculatedColumnFormula>IF(Table1[[#This Row],[Order Date]]&lt;Q2,"Yes","No")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AE91-9561-43E4-8311-CFE6CA9B8026}">
  <dimension ref="A1:S1000"/>
  <sheetViews>
    <sheetView tabSelected="1" workbookViewId="0">
      <pane ySplit="1" topLeftCell="A2" activePane="bottomLeft" state="frozen"/>
      <selection pane="bottomLeft" activeCell="G179" sqref="G179"/>
    </sheetView>
  </sheetViews>
  <sheetFormatPr defaultColWidth="14.44140625" defaultRowHeight="15" customHeight="1" x14ac:dyDescent="0.3"/>
  <cols>
    <col min="1" max="1" width="12.44140625" bestFit="1" customWidth="1"/>
    <col min="2" max="2" width="14.5546875" customWidth="1"/>
    <col min="3" max="3" width="19.6640625" bestFit="1" customWidth="1"/>
    <col min="4" max="4" width="18.33203125" bestFit="1" customWidth="1"/>
    <col min="5" max="5" width="15.109375" bestFit="1" customWidth="1"/>
    <col min="6" max="6" width="20.77734375" bestFit="1" customWidth="1"/>
    <col min="7" max="7" width="27.44140625" bestFit="1" customWidth="1"/>
    <col min="8" max="8" width="18.88671875" bestFit="1" customWidth="1"/>
    <col min="9" max="9" width="21.88671875" bestFit="1" customWidth="1"/>
    <col min="10" max="10" width="27.44140625" customWidth="1"/>
    <col min="11" max="11" width="12.77734375" bestFit="1" customWidth="1"/>
    <col min="12" max="12" width="14.5546875" bestFit="1" customWidth="1"/>
    <col min="13" max="13" width="14.21875" bestFit="1" customWidth="1"/>
    <col min="14" max="14" width="16.21875" style="11" bestFit="1" customWidth="1"/>
    <col min="15" max="15" width="20.88671875" bestFit="1" customWidth="1"/>
    <col min="16" max="16" width="16.44140625" bestFit="1" customWidth="1"/>
    <col min="17" max="17" width="17.109375" bestFit="1" customWidth="1"/>
    <col min="18" max="18" width="20" bestFit="1" customWidth="1"/>
    <col min="19" max="19" width="27" bestFit="1" customWidth="1"/>
    <col min="20" max="29" width="8.6640625" customWidth="1"/>
  </cols>
  <sheetData>
    <row r="1" spans="1:19" ht="14.25" customHeight="1" x14ac:dyDescent="0.3">
      <c r="A1" s="1" t="s">
        <v>0</v>
      </c>
      <c r="B1" s="1" t="s">
        <v>1</v>
      </c>
      <c r="C1" s="1" t="s">
        <v>486</v>
      </c>
      <c r="D1" s="1" t="s">
        <v>474</v>
      </c>
      <c r="E1" s="1" t="s">
        <v>475</v>
      </c>
      <c r="F1" s="6" t="s">
        <v>476</v>
      </c>
      <c r="G1" s="1" t="s">
        <v>487</v>
      </c>
      <c r="H1" s="6" t="s">
        <v>477</v>
      </c>
      <c r="I1" s="6" t="s">
        <v>482</v>
      </c>
      <c r="J1" s="6" t="s">
        <v>483</v>
      </c>
      <c r="K1" s="1" t="s">
        <v>2</v>
      </c>
      <c r="L1" s="1" t="s">
        <v>488</v>
      </c>
      <c r="M1" s="6" t="s">
        <v>484</v>
      </c>
      <c r="N1" s="10" t="s">
        <v>489</v>
      </c>
      <c r="O1" s="1" t="s">
        <v>490</v>
      </c>
      <c r="P1" s="6" t="s">
        <v>491</v>
      </c>
      <c r="Q1" s="1" t="s">
        <v>492</v>
      </c>
      <c r="R1" s="1" t="s">
        <v>493</v>
      </c>
      <c r="S1" s="12" t="s">
        <v>485</v>
      </c>
    </row>
    <row r="2" spans="1:19" ht="14.25" customHeight="1" x14ac:dyDescent="0.3">
      <c r="A2" s="2" t="s">
        <v>3</v>
      </c>
      <c r="B2" s="13">
        <v>45798</v>
      </c>
      <c r="C2" s="2" t="s">
        <v>4</v>
      </c>
      <c r="D2" s="5" t="s">
        <v>58</v>
      </c>
      <c r="E2" s="3" t="s">
        <v>5</v>
      </c>
      <c r="F2" s="2" t="s">
        <v>6</v>
      </c>
      <c r="G2" s="2" t="s">
        <v>7</v>
      </c>
      <c r="H2" s="7" t="s">
        <v>478</v>
      </c>
      <c r="I2" s="7" t="str" cm="1">
        <f t="array" ref="I2">_xlfn.SWITCH(H2,"ELEC","Electronics","BEAU","Beauty","HOME","Home &amp; Kitchen","FASH","Fashion")</f>
        <v>Electronics</v>
      </c>
      <c r="J2" s="7" t="str">
        <f>IF(I2=F2,"Match","Mismatch")</f>
        <v>Match</v>
      </c>
      <c r="K2" s="2">
        <v>3</v>
      </c>
      <c r="L2" s="8">
        <v>370.87</v>
      </c>
      <c r="M2" s="9">
        <v>0.2</v>
      </c>
      <c r="N2" s="8">
        <v>890.09</v>
      </c>
      <c r="O2" s="2" t="s">
        <v>8</v>
      </c>
      <c r="P2" s="7" t="s">
        <v>45</v>
      </c>
      <c r="Q2" s="4">
        <v>45802</v>
      </c>
      <c r="R2" s="2">
        <v>1</v>
      </c>
      <c r="S2" t="str">
        <f>IF(Table1[[#This Row],[Order Date]]&lt;Q2,"Yes","No")</f>
        <v>Yes</v>
      </c>
    </row>
    <row r="3" spans="1:19" ht="14.25" customHeight="1" x14ac:dyDescent="0.3">
      <c r="A3" s="2" t="s">
        <v>9</v>
      </c>
      <c r="B3" s="13">
        <v>45945</v>
      </c>
      <c r="C3" s="2" t="s">
        <v>10</v>
      </c>
      <c r="D3" s="3" t="s">
        <v>39</v>
      </c>
      <c r="E3" s="3" t="s">
        <v>11</v>
      </c>
      <c r="F3" s="2" t="s">
        <v>12</v>
      </c>
      <c r="G3" s="2" t="s">
        <v>13</v>
      </c>
      <c r="H3" s="7" t="s">
        <v>479</v>
      </c>
      <c r="I3" s="7" t="str" cm="1">
        <f t="array" ref="I3">_xlfn.SWITCH(H3,"ELEC","Electronics","BEAU","Beauty","HOME","Home &amp; Kitchen","FASH","Fashion")</f>
        <v>Beauty</v>
      </c>
      <c r="J3" s="7" t="str">
        <f t="shared" ref="J3:J66" si="0">IF(I3=F3,"Match","Mismatch")</f>
        <v>Match</v>
      </c>
      <c r="K3" s="2">
        <v>7</v>
      </c>
      <c r="L3" s="8">
        <v>118.02</v>
      </c>
      <c r="M3" s="9">
        <v>0.2</v>
      </c>
      <c r="N3" s="8">
        <v>660.91</v>
      </c>
      <c r="O3" s="2" t="s">
        <v>8</v>
      </c>
      <c r="P3" s="7" t="s">
        <v>14</v>
      </c>
      <c r="Q3" s="4">
        <v>45949</v>
      </c>
      <c r="R3" s="2">
        <v>3</v>
      </c>
      <c r="S3" t="str">
        <f>IF(Table1[[#This Row],[Order Date]]&lt;Q3,"Yes","No")</f>
        <v>Yes</v>
      </c>
    </row>
    <row r="4" spans="1:19" ht="14.25" customHeight="1" x14ac:dyDescent="0.3">
      <c r="A4" s="2" t="s">
        <v>15</v>
      </c>
      <c r="B4" s="13">
        <v>45768</v>
      </c>
      <c r="C4" s="2" t="s">
        <v>16</v>
      </c>
      <c r="D4" s="3" t="s">
        <v>17</v>
      </c>
      <c r="E4" s="3" t="s">
        <v>18</v>
      </c>
      <c r="F4" s="2" t="s">
        <v>6</v>
      </c>
      <c r="G4" s="2" t="s">
        <v>19</v>
      </c>
      <c r="H4" s="7" t="s">
        <v>480</v>
      </c>
      <c r="I4" s="7" t="str" cm="1">
        <f t="array" ref="I4">_xlfn.SWITCH(H4,"ELEC","Electronics","BEAU","Beauty","HOME","Home &amp; Kitchen","FASH","Fashion")</f>
        <v>Home &amp; Kitchen</v>
      </c>
      <c r="J4" s="7" t="str">
        <f t="shared" si="0"/>
        <v>Mismatch</v>
      </c>
      <c r="K4" s="2">
        <v>2</v>
      </c>
      <c r="L4" s="8">
        <v>55.45</v>
      </c>
      <c r="M4" s="9">
        <v>0</v>
      </c>
      <c r="N4" s="8">
        <v>110.9</v>
      </c>
      <c r="O4" s="2" t="s">
        <v>8</v>
      </c>
      <c r="P4" s="7" t="s">
        <v>14</v>
      </c>
      <c r="Q4" s="4">
        <v>45781</v>
      </c>
      <c r="R4" s="2">
        <v>3</v>
      </c>
      <c r="S4" t="str">
        <f>IF(Table1[[#This Row],[Order Date]]&lt;Q4,"Yes","No")</f>
        <v>Yes</v>
      </c>
    </row>
    <row r="5" spans="1:19" ht="14.25" customHeight="1" x14ac:dyDescent="0.3">
      <c r="A5" s="2" t="s">
        <v>21</v>
      </c>
      <c r="B5" s="13">
        <v>45932</v>
      </c>
      <c r="C5" s="2" t="s">
        <v>22</v>
      </c>
      <c r="D5" s="3" t="s">
        <v>23</v>
      </c>
      <c r="E5" s="3" t="s">
        <v>24</v>
      </c>
      <c r="F5" s="2" t="s">
        <v>6</v>
      </c>
      <c r="G5" s="2" t="s">
        <v>19</v>
      </c>
      <c r="H5" s="7" t="s">
        <v>480</v>
      </c>
      <c r="I5" s="7" t="str" cm="1">
        <f t="array" ref="I5">_xlfn.SWITCH(H5,"ELEC","Electronics","BEAU","Beauty","HOME","Home &amp; Kitchen","FASH","Fashion")</f>
        <v>Home &amp; Kitchen</v>
      </c>
      <c r="J5" s="7" t="str">
        <f t="shared" si="0"/>
        <v>Mismatch</v>
      </c>
      <c r="K5" s="2">
        <v>10</v>
      </c>
      <c r="L5" s="8">
        <v>443.87</v>
      </c>
      <c r="M5" s="9">
        <v>0.1</v>
      </c>
      <c r="N5" s="8">
        <v>3994.83</v>
      </c>
      <c r="O5" s="2" t="s">
        <v>8</v>
      </c>
      <c r="P5" s="7" t="s">
        <v>14</v>
      </c>
      <c r="Q5" s="4">
        <v>45707</v>
      </c>
      <c r="R5" s="2">
        <v>5</v>
      </c>
      <c r="S5" t="str">
        <f>IF(Table1[[#This Row],[Order Date]]&lt;Q5,"Yes","No")</f>
        <v>No</v>
      </c>
    </row>
    <row r="6" spans="1:19" ht="12" customHeight="1" x14ac:dyDescent="0.3">
      <c r="A6" s="2" t="s">
        <v>26</v>
      </c>
      <c r="B6" s="13">
        <v>45777</v>
      </c>
      <c r="C6" s="2" t="s">
        <v>27</v>
      </c>
      <c r="D6" s="3" t="s">
        <v>58</v>
      </c>
      <c r="E6" s="3" t="s">
        <v>28</v>
      </c>
      <c r="F6" s="2" t="s">
        <v>6</v>
      </c>
      <c r="G6" s="2" t="s">
        <v>29</v>
      </c>
      <c r="H6" s="7" t="s">
        <v>478</v>
      </c>
      <c r="I6" s="7" t="str" cm="1">
        <f t="array" ref="I6">_xlfn.SWITCH(H6,"ELEC","Electronics","BEAU","Beauty","HOME","Home &amp; Kitchen","FASH","Fashion")</f>
        <v>Electronics</v>
      </c>
      <c r="J6" s="7" t="str">
        <f t="shared" si="0"/>
        <v>Match</v>
      </c>
      <c r="K6" s="2">
        <v>7</v>
      </c>
      <c r="L6" s="8">
        <v>146.21</v>
      </c>
      <c r="M6" s="9">
        <v>0.1</v>
      </c>
      <c r="N6" s="8">
        <v>921.12</v>
      </c>
      <c r="O6" s="2" t="s">
        <v>30</v>
      </c>
      <c r="P6" s="7" t="s">
        <v>31</v>
      </c>
      <c r="Q6" s="4">
        <v>45791</v>
      </c>
      <c r="R6" s="2">
        <v>2</v>
      </c>
      <c r="S6" t="str">
        <f>IF(Table1[[#This Row],[Order Date]]&lt;Q6,"Yes","No")</f>
        <v>Yes</v>
      </c>
    </row>
    <row r="7" spans="1:19" ht="14.25" customHeight="1" x14ac:dyDescent="0.3">
      <c r="A7" s="2" t="s">
        <v>32</v>
      </c>
      <c r="B7" s="13">
        <v>45667</v>
      </c>
      <c r="C7" s="2" t="s">
        <v>33</v>
      </c>
      <c r="D7" s="3" t="s">
        <v>34</v>
      </c>
      <c r="E7" s="3" t="s">
        <v>35</v>
      </c>
      <c r="F7" s="2" t="s">
        <v>6</v>
      </c>
      <c r="G7" s="2" t="s">
        <v>7</v>
      </c>
      <c r="H7" s="7" t="s">
        <v>478</v>
      </c>
      <c r="I7" s="7" t="str" cm="1">
        <f t="array" ref="I7">_xlfn.SWITCH(H7,"ELEC","Electronics","BEAU","Beauty","HOME","Home &amp; Kitchen","FASH","Fashion")</f>
        <v>Electronics</v>
      </c>
      <c r="J7" s="7" t="str">
        <f t="shared" si="0"/>
        <v>Match</v>
      </c>
      <c r="K7" s="2">
        <v>3</v>
      </c>
      <c r="L7" s="8">
        <v>236.51</v>
      </c>
      <c r="M7" s="9">
        <v>0.1</v>
      </c>
      <c r="N7" s="8">
        <v>638.58000000000004</v>
      </c>
      <c r="O7" s="2" t="s">
        <v>8</v>
      </c>
      <c r="P7" s="7" t="s">
        <v>45</v>
      </c>
      <c r="Q7" s="4">
        <v>45943</v>
      </c>
      <c r="R7" s="2">
        <v>5</v>
      </c>
      <c r="S7" t="str">
        <f>IF(Table1[[#This Row],[Order Date]]&lt;Q7,"Yes","No")</f>
        <v>Yes</v>
      </c>
    </row>
    <row r="8" spans="1:19" ht="14.25" customHeight="1" x14ac:dyDescent="0.3">
      <c r="A8" s="2" t="s">
        <v>32</v>
      </c>
      <c r="B8" s="13">
        <v>45667</v>
      </c>
      <c r="C8" s="2" t="s">
        <v>33</v>
      </c>
      <c r="D8" s="3" t="s">
        <v>23</v>
      </c>
      <c r="E8" s="3" t="s">
        <v>24</v>
      </c>
      <c r="F8" s="2" t="s">
        <v>6</v>
      </c>
      <c r="G8" s="2" t="s">
        <v>7</v>
      </c>
      <c r="H8" s="7" t="s">
        <v>478</v>
      </c>
      <c r="I8" s="7" t="str" cm="1">
        <f t="array" ref="I8">_xlfn.SWITCH(H8,"ELEC","Electronics","BEAU","Beauty","HOME","Home &amp; Kitchen","FASH","Fashion")</f>
        <v>Electronics</v>
      </c>
      <c r="J8" s="7" t="str">
        <f t="shared" si="0"/>
        <v>Match</v>
      </c>
      <c r="K8" s="2">
        <v>3</v>
      </c>
      <c r="L8" s="8">
        <v>236.51</v>
      </c>
      <c r="M8" s="9">
        <v>0.1</v>
      </c>
      <c r="N8" s="8">
        <v>638.58000000000004</v>
      </c>
      <c r="O8" s="2" t="s">
        <v>8</v>
      </c>
      <c r="P8" s="7" t="s">
        <v>45</v>
      </c>
      <c r="Q8" s="4">
        <v>45943</v>
      </c>
      <c r="R8" s="2">
        <v>5</v>
      </c>
      <c r="S8" t="str">
        <f>IF(Table1[[#This Row],[Order Date]]&lt;Q8,"Yes","No")</f>
        <v>Yes</v>
      </c>
    </row>
    <row r="9" spans="1:19" ht="14.25" customHeight="1" x14ac:dyDescent="0.3">
      <c r="A9" s="2" t="s">
        <v>37</v>
      </c>
      <c r="B9" s="13">
        <v>45795</v>
      </c>
      <c r="C9" s="2" t="s">
        <v>38</v>
      </c>
      <c r="D9" s="3" t="s">
        <v>39</v>
      </c>
      <c r="E9" s="3" t="s">
        <v>11</v>
      </c>
      <c r="F9" s="2" t="s">
        <v>44</v>
      </c>
      <c r="G9" s="2" t="s">
        <v>7</v>
      </c>
      <c r="H9" s="7" t="s">
        <v>478</v>
      </c>
      <c r="I9" s="7" t="str" cm="1">
        <f t="array" ref="I9">_xlfn.SWITCH(H9,"ELEC","Electronics","BEAU","Beauty","HOME","Home &amp; Kitchen","FASH","Fashion")</f>
        <v>Electronics</v>
      </c>
      <c r="J9" s="7" t="str">
        <f t="shared" si="0"/>
        <v>Mismatch</v>
      </c>
      <c r="K9" s="2">
        <v>10</v>
      </c>
      <c r="L9" s="8">
        <v>439.42</v>
      </c>
      <c r="M9" s="9">
        <v>0.1</v>
      </c>
      <c r="N9" s="8">
        <v>3954.78</v>
      </c>
      <c r="O9" s="2" t="s">
        <v>40</v>
      </c>
      <c r="P9" s="7" t="s">
        <v>45</v>
      </c>
      <c r="Q9" s="4">
        <v>45797</v>
      </c>
      <c r="R9" s="2">
        <v>2</v>
      </c>
      <c r="S9" t="str">
        <f>IF(Table1[[#This Row],[Order Date]]&lt;Q9,"Yes","No")</f>
        <v>Yes</v>
      </c>
    </row>
    <row r="10" spans="1:19" ht="14.25" customHeight="1" x14ac:dyDescent="0.3">
      <c r="A10" s="2" t="s">
        <v>42</v>
      </c>
      <c r="B10" s="13">
        <v>45726</v>
      </c>
      <c r="C10" s="2" t="s">
        <v>43</v>
      </c>
      <c r="D10" s="3" t="s">
        <v>34</v>
      </c>
      <c r="E10" s="3" t="s">
        <v>35</v>
      </c>
      <c r="F10" s="2" t="s">
        <v>44</v>
      </c>
      <c r="G10" s="2" t="s">
        <v>13</v>
      </c>
      <c r="H10" s="7" t="s">
        <v>479</v>
      </c>
      <c r="I10" s="7" t="str" cm="1">
        <f t="array" ref="I10">_xlfn.SWITCH(H10,"ELEC","Electronics","BEAU","Beauty","HOME","Home &amp; Kitchen","FASH","Fashion")</f>
        <v>Beauty</v>
      </c>
      <c r="J10" s="7" t="str">
        <f t="shared" si="0"/>
        <v>Mismatch</v>
      </c>
      <c r="K10" s="2">
        <v>7</v>
      </c>
      <c r="L10" s="8">
        <v>449.93</v>
      </c>
      <c r="M10" s="9">
        <v>0.15</v>
      </c>
      <c r="N10" s="8">
        <v>2677.08</v>
      </c>
      <c r="O10" s="2" t="s">
        <v>40</v>
      </c>
      <c r="P10" s="7" t="s">
        <v>45</v>
      </c>
      <c r="Q10" s="4">
        <v>45938</v>
      </c>
      <c r="R10" s="2">
        <v>3</v>
      </c>
      <c r="S10" t="str">
        <f>IF(Table1[[#This Row],[Order Date]]&lt;Q10,"Yes","No")</f>
        <v>Yes</v>
      </c>
    </row>
    <row r="11" spans="1:19" ht="14.25" customHeight="1" x14ac:dyDescent="0.3">
      <c r="A11" s="2" t="s">
        <v>47</v>
      </c>
      <c r="B11" s="13">
        <v>45979</v>
      </c>
      <c r="C11" s="2" t="s">
        <v>48</v>
      </c>
      <c r="D11" s="3" t="s">
        <v>39</v>
      </c>
      <c r="E11" s="3" t="s">
        <v>11</v>
      </c>
      <c r="F11" s="2" t="s">
        <v>6</v>
      </c>
      <c r="G11" s="2" t="s">
        <v>49</v>
      </c>
      <c r="H11" s="7" t="s">
        <v>481</v>
      </c>
      <c r="I11" s="7" t="str" cm="1">
        <f t="array" ref="I11">_xlfn.SWITCH(H11,"ELEC","Electronics","BEAU","Beauty","HOME","Home &amp; Kitchen","FASH","Fashion")</f>
        <v>Fashion</v>
      </c>
      <c r="J11" s="7" t="str">
        <f t="shared" si="0"/>
        <v>Mismatch</v>
      </c>
      <c r="K11" s="2">
        <v>10</v>
      </c>
      <c r="L11" s="8">
        <v>41.13</v>
      </c>
      <c r="M11" s="9">
        <v>0.15</v>
      </c>
      <c r="N11" s="8">
        <v>349.61</v>
      </c>
      <c r="O11" s="2" t="s">
        <v>50</v>
      </c>
      <c r="P11" s="7" t="s">
        <v>45</v>
      </c>
      <c r="Q11" s="4">
        <v>45982</v>
      </c>
      <c r="R11" s="2">
        <v>5</v>
      </c>
      <c r="S11" t="str">
        <f>IF(Table1[[#This Row],[Order Date]]&lt;Q11,"Yes","No")</f>
        <v>Yes</v>
      </c>
    </row>
    <row r="12" spans="1:19" ht="14.25" customHeight="1" x14ac:dyDescent="0.3">
      <c r="A12" s="2" t="s">
        <v>51</v>
      </c>
      <c r="B12" s="13">
        <v>45986</v>
      </c>
      <c r="C12" s="2" t="s">
        <v>52</v>
      </c>
      <c r="D12" s="3" t="s">
        <v>17</v>
      </c>
      <c r="E12" s="3" t="s">
        <v>18</v>
      </c>
      <c r="F12" s="2" t="s">
        <v>12</v>
      </c>
      <c r="G12" s="2" t="s">
        <v>29</v>
      </c>
      <c r="H12" s="7" t="s">
        <v>478</v>
      </c>
      <c r="I12" s="7" t="str" cm="1">
        <f t="array" ref="I12">_xlfn.SWITCH(H12,"ELEC","Electronics","BEAU","Beauty","HOME","Home &amp; Kitchen","FASH","Fashion")</f>
        <v>Electronics</v>
      </c>
      <c r="J12" s="7" t="str">
        <f t="shared" si="0"/>
        <v>Mismatch</v>
      </c>
      <c r="K12" s="2">
        <v>5</v>
      </c>
      <c r="L12" s="8">
        <v>223.03</v>
      </c>
      <c r="M12" s="9">
        <v>0.15</v>
      </c>
      <c r="N12" s="8">
        <v>947.88</v>
      </c>
      <c r="O12" s="2" t="s">
        <v>8</v>
      </c>
      <c r="P12" s="7" t="s">
        <v>53</v>
      </c>
      <c r="Q12" s="4">
        <v>45992</v>
      </c>
      <c r="R12" s="2">
        <v>1</v>
      </c>
      <c r="S12" t="str">
        <f>IF(Table1[[#This Row],[Order Date]]&lt;Q12,"Yes","No")</f>
        <v>Yes</v>
      </c>
    </row>
    <row r="13" spans="1:19" ht="14.25" customHeight="1" x14ac:dyDescent="0.3">
      <c r="A13" s="2" t="s">
        <v>55</v>
      </c>
      <c r="B13" s="13">
        <v>45985</v>
      </c>
      <c r="C13" s="2" t="s">
        <v>57</v>
      </c>
      <c r="D13" s="3" t="s">
        <v>58</v>
      </c>
      <c r="E13" s="3" t="s">
        <v>28</v>
      </c>
      <c r="F13" s="2" t="s">
        <v>6</v>
      </c>
      <c r="G13" s="2" t="s">
        <v>13</v>
      </c>
      <c r="H13" s="7" t="s">
        <v>479</v>
      </c>
      <c r="I13" s="7" t="str" cm="1">
        <f t="array" ref="I13">_xlfn.SWITCH(H13,"ELEC","Electronics","BEAU","Beauty","HOME","Home &amp; Kitchen","FASH","Fashion")</f>
        <v>Beauty</v>
      </c>
      <c r="J13" s="7" t="str">
        <f t="shared" si="0"/>
        <v>Mismatch</v>
      </c>
      <c r="K13" s="2">
        <v>4</v>
      </c>
      <c r="L13" s="8">
        <v>84.89</v>
      </c>
      <c r="M13" s="9">
        <v>0.05</v>
      </c>
      <c r="N13" s="8">
        <v>322.58</v>
      </c>
      <c r="O13" s="2" t="s">
        <v>40</v>
      </c>
      <c r="P13" s="7" t="s">
        <v>45</v>
      </c>
      <c r="Q13" s="4">
        <v>45994</v>
      </c>
      <c r="R13" s="2">
        <v>5</v>
      </c>
      <c r="S13" t="str">
        <f>IF(Table1[[#This Row],[Order Date]]&lt;Q13,"Yes","No")</f>
        <v>Yes</v>
      </c>
    </row>
    <row r="14" spans="1:19" ht="14.25" customHeight="1" x14ac:dyDescent="0.3">
      <c r="A14" s="2" t="s">
        <v>59</v>
      </c>
      <c r="B14" s="13">
        <v>45721</v>
      </c>
      <c r="C14" s="2" t="s">
        <v>60</v>
      </c>
      <c r="D14" s="3" t="s">
        <v>39</v>
      </c>
      <c r="E14" s="3" t="s">
        <v>11</v>
      </c>
      <c r="F14" s="2" t="s">
        <v>44</v>
      </c>
      <c r="G14" s="2" t="s">
        <v>7</v>
      </c>
      <c r="H14" s="7" t="s">
        <v>478</v>
      </c>
      <c r="I14" s="7" t="str" cm="1">
        <f t="array" ref="I14">_xlfn.SWITCH(H14,"ELEC","Electronics","BEAU","Beauty","HOME","Home &amp; Kitchen","FASH","Fashion")</f>
        <v>Electronics</v>
      </c>
      <c r="J14" s="7" t="str">
        <f t="shared" si="0"/>
        <v>Mismatch</v>
      </c>
      <c r="K14" s="2">
        <v>10</v>
      </c>
      <c r="L14" s="8">
        <v>474.01</v>
      </c>
      <c r="M14" s="9">
        <v>0</v>
      </c>
      <c r="N14" s="8">
        <v>4740.1000000000004</v>
      </c>
      <c r="O14" s="2" t="s">
        <v>8</v>
      </c>
      <c r="P14" s="7" t="s">
        <v>45</v>
      </c>
      <c r="Q14" s="4">
        <v>45781</v>
      </c>
      <c r="R14" s="2">
        <v>4</v>
      </c>
      <c r="S14" t="str">
        <f>IF(Table1[[#This Row],[Order Date]]&lt;Q14,"Yes","No")</f>
        <v>Yes</v>
      </c>
    </row>
    <row r="15" spans="1:19" ht="14.25" customHeight="1" x14ac:dyDescent="0.3">
      <c r="A15" s="2" t="s">
        <v>61</v>
      </c>
      <c r="B15" s="13">
        <v>45928</v>
      </c>
      <c r="C15" s="2" t="s">
        <v>62</v>
      </c>
      <c r="D15" s="3" t="s">
        <v>34</v>
      </c>
      <c r="E15" s="3" t="s">
        <v>35</v>
      </c>
      <c r="F15" s="2" t="s">
        <v>44</v>
      </c>
      <c r="G15" s="2" t="s">
        <v>13</v>
      </c>
      <c r="H15" s="7" t="s">
        <v>479</v>
      </c>
      <c r="I15" s="7" t="str" cm="1">
        <f t="array" ref="I15">_xlfn.SWITCH(H15,"ELEC","Electronics","BEAU","Beauty","HOME","Home &amp; Kitchen","FASH","Fashion")</f>
        <v>Beauty</v>
      </c>
      <c r="J15" s="7" t="str">
        <f t="shared" si="0"/>
        <v>Mismatch</v>
      </c>
      <c r="K15" s="2">
        <v>7</v>
      </c>
      <c r="L15" s="8">
        <v>482.54</v>
      </c>
      <c r="M15" s="9">
        <v>0.2</v>
      </c>
      <c r="N15" s="8">
        <v>2702.22</v>
      </c>
      <c r="O15" s="2" t="s">
        <v>30</v>
      </c>
      <c r="P15" s="7" t="s">
        <v>31</v>
      </c>
      <c r="Q15" s="4">
        <v>45942</v>
      </c>
      <c r="R15" s="2">
        <v>2</v>
      </c>
      <c r="S15" t="str">
        <f>IF(Table1[[#This Row],[Order Date]]&lt;Q15,"Yes","No")</f>
        <v>Yes</v>
      </c>
    </row>
    <row r="16" spans="1:19" ht="14.25" customHeight="1" x14ac:dyDescent="0.3">
      <c r="A16" s="2" t="s">
        <v>63</v>
      </c>
      <c r="B16" s="13">
        <v>45719</v>
      </c>
      <c r="C16" s="2" t="s">
        <v>64</v>
      </c>
      <c r="D16" s="3" t="s">
        <v>17</v>
      </c>
      <c r="E16" s="3" t="s">
        <v>18</v>
      </c>
      <c r="F16" s="2" t="s">
        <v>6</v>
      </c>
      <c r="G16" s="2" t="s">
        <v>7</v>
      </c>
      <c r="H16" s="7" t="s">
        <v>478</v>
      </c>
      <c r="I16" s="7" t="str" cm="1">
        <f t="array" ref="I16">_xlfn.SWITCH(H16,"ELEC","Electronics","BEAU","Beauty","HOME","Home &amp; Kitchen","FASH","Fashion")</f>
        <v>Electronics</v>
      </c>
      <c r="J16" s="7" t="str">
        <f t="shared" si="0"/>
        <v>Match</v>
      </c>
      <c r="K16" s="2">
        <v>2</v>
      </c>
      <c r="L16" s="8">
        <v>175.66</v>
      </c>
      <c r="M16" s="9">
        <v>0.2</v>
      </c>
      <c r="N16" s="8">
        <v>281.06</v>
      </c>
      <c r="O16" s="2" t="s">
        <v>8</v>
      </c>
      <c r="P16" s="7" t="s">
        <v>45</v>
      </c>
      <c r="Q16" s="4">
        <v>45723</v>
      </c>
      <c r="R16" s="2">
        <v>5</v>
      </c>
      <c r="S16" t="str">
        <f>IF(Table1[[#This Row],[Order Date]]&lt;Q16,"Yes","No")</f>
        <v>Yes</v>
      </c>
    </row>
    <row r="17" spans="1:19" ht="14.25" customHeight="1" x14ac:dyDescent="0.3">
      <c r="A17" s="2" t="s">
        <v>65</v>
      </c>
      <c r="B17" s="13">
        <v>45827</v>
      </c>
      <c r="C17" s="2" t="s">
        <v>66</v>
      </c>
      <c r="D17" s="3" t="s">
        <v>58</v>
      </c>
      <c r="E17" s="3" t="s">
        <v>5</v>
      </c>
      <c r="F17" s="2" t="s">
        <v>44</v>
      </c>
      <c r="G17" s="2" t="s">
        <v>13</v>
      </c>
      <c r="H17" s="7" t="s">
        <v>479</v>
      </c>
      <c r="I17" s="7" t="str" cm="1">
        <f t="array" ref="I17">_xlfn.SWITCH(H17,"ELEC","Electronics","BEAU","Beauty","HOME","Home &amp; Kitchen","FASH","Fashion")</f>
        <v>Beauty</v>
      </c>
      <c r="J17" s="7" t="str">
        <f t="shared" si="0"/>
        <v>Mismatch</v>
      </c>
      <c r="K17" s="2">
        <v>4</v>
      </c>
      <c r="L17" s="8">
        <v>146.44999999999999</v>
      </c>
      <c r="M17" s="9">
        <v>0.15</v>
      </c>
      <c r="N17" s="8">
        <v>497.93</v>
      </c>
      <c r="O17" s="2" t="s">
        <v>50</v>
      </c>
      <c r="P17" s="7" t="s">
        <v>67</v>
      </c>
      <c r="Q17" s="4">
        <v>45829</v>
      </c>
      <c r="R17" s="2">
        <v>2</v>
      </c>
      <c r="S17" t="str">
        <f>IF(Table1[[#This Row],[Order Date]]&lt;Q17,"Yes","No")</f>
        <v>Yes</v>
      </c>
    </row>
    <row r="18" spans="1:19" ht="14.25" customHeight="1" x14ac:dyDescent="0.3">
      <c r="A18" s="2" t="s">
        <v>68</v>
      </c>
      <c r="B18" s="13">
        <v>45873</v>
      </c>
      <c r="C18" s="2" t="s">
        <v>69</v>
      </c>
      <c r="D18" s="3" t="s">
        <v>58</v>
      </c>
      <c r="E18" s="3" t="s">
        <v>5</v>
      </c>
      <c r="F18" s="2" t="s">
        <v>44</v>
      </c>
      <c r="G18" s="2" t="s">
        <v>29</v>
      </c>
      <c r="H18" s="7" t="s">
        <v>478</v>
      </c>
      <c r="I18" s="7" t="str" cm="1">
        <f t="array" ref="I18">_xlfn.SWITCH(H18,"ELEC","Electronics","BEAU","Beauty","HOME","Home &amp; Kitchen","FASH","Fashion")</f>
        <v>Electronics</v>
      </c>
      <c r="J18" s="7" t="str">
        <f t="shared" si="0"/>
        <v>Mismatch</v>
      </c>
      <c r="K18" s="2">
        <v>7</v>
      </c>
      <c r="L18" s="8">
        <v>183.61</v>
      </c>
      <c r="M18" s="9">
        <v>0.15</v>
      </c>
      <c r="N18" s="8">
        <v>1092.48</v>
      </c>
      <c r="O18" s="2" t="s">
        <v>30</v>
      </c>
      <c r="P18" s="7" t="s">
        <v>45</v>
      </c>
      <c r="Q18" s="4">
        <v>45757</v>
      </c>
      <c r="R18" s="2">
        <v>4</v>
      </c>
      <c r="S18" t="str">
        <f>IF(Table1[[#This Row],[Order Date]]&lt;Q18,"Yes","No")</f>
        <v>No</v>
      </c>
    </row>
    <row r="19" spans="1:19" ht="14.25" customHeight="1" x14ac:dyDescent="0.3">
      <c r="A19" s="2" t="s">
        <v>70</v>
      </c>
      <c r="B19" s="13">
        <v>45713</v>
      </c>
      <c r="C19" s="2" t="s">
        <v>463</v>
      </c>
      <c r="D19" s="3" t="s">
        <v>58</v>
      </c>
      <c r="E19" s="3" t="s">
        <v>28</v>
      </c>
      <c r="F19" s="2" t="s">
        <v>71</v>
      </c>
      <c r="G19" s="2" t="s">
        <v>7</v>
      </c>
      <c r="H19" s="7" t="s">
        <v>478</v>
      </c>
      <c r="I19" s="7" t="str" cm="1">
        <f t="array" ref="I19">_xlfn.SWITCH(H19,"ELEC","Electronics","BEAU","Beauty","HOME","Home &amp; Kitchen","FASH","Fashion")</f>
        <v>Electronics</v>
      </c>
      <c r="J19" s="7" t="str">
        <f t="shared" si="0"/>
        <v>Mismatch</v>
      </c>
      <c r="K19" s="2">
        <v>4</v>
      </c>
      <c r="L19" s="8">
        <v>272.77999999999997</v>
      </c>
      <c r="M19" s="9">
        <v>0.05</v>
      </c>
      <c r="N19" s="8">
        <v>1036.56</v>
      </c>
      <c r="O19" s="2" t="s">
        <v>8</v>
      </c>
      <c r="P19" s="7" t="s">
        <v>45</v>
      </c>
      <c r="Q19" s="4">
        <v>45717</v>
      </c>
      <c r="R19" s="2">
        <v>4</v>
      </c>
      <c r="S19" t="str">
        <f>IF(Table1[[#This Row],[Order Date]]&lt;Q19,"Yes","No")</f>
        <v>Yes</v>
      </c>
    </row>
    <row r="20" spans="1:19" ht="14.25" customHeight="1" x14ac:dyDescent="0.3">
      <c r="A20" s="2" t="s">
        <v>72</v>
      </c>
      <c r="B20" s="13">
        <v>45683</v>
      </c>
      <c r="C20" s="2" t="s">
        <v>73</v>
      </c>
      <c r="D20" s="3" t="s">
        <v>39</v>
      </c>
      <c r="E20" s="3" t="s">
        <v>11</v>
      </c>
      <c r="F20" s="2" t="s">
        <v>71</v>
      </c>
      <c r="G20" s="2" t="s">
        <v>13</v>
      </c>
      <c r="H20" s="7" t="s">
        <v>479</v>
      </c>
      <c r="I20" s="7" t="str" cm="1">
        <f t="array" ref="I20">_xlfn.SWITCH(H20,"ELEC","Electronics","BEAU","Beauty","HOME","Home &amp; Kitchen","FASH","Fashion")</f>
        <v>Beauty</v>
      </c>
      <c r="J20" s="7" t="str">
        <f t="shared" si="0"/>
        <v>Mismatch</v>
      </c>
      <c r="K20" s="2">
        <v>-2</v>
      </c>
      <c r="L20" s="8">
        <v>484.81</v>
      </c>
      <c r="M20" s="9">
        <v>0.05</v>
      </c>
      <c r="N20" s="8">
        <v>-921.14</v>
      </c>
      <c r="O20" s="2" t="s">
        <v>8</v>
      </c>
      <c r="P20" s="7" t="s">
        <v>67</v>
      </c>
      <c r="Q20" s="4">
        <v>45694</v>
      </c>
      <c r="R20" s="2">
        <v>2</v>
      </c>
      <c r="S20" t="str">
        <f>IF(Table1[[#This Row],[Order Date]]&lt;Q20,"Yes","No")</f>
        <v>Yes</v>
      </c>
    </row>
    <row r="21" spans="1:19" ht="14.25" customHeight="1" x14ac:dyDescent="0.3">
      <c r="A21" s="2" t="s">
        <v>75</v>
      </c>
      <c r="B21" s="13">
        <v>45857</v>
      </c>
      <c r="C21" s="2" t="s">
        <v>76</v>
      </c>
      <c r="D21" s="3" t="s">
        <v>58</v>
      </c>
      <c r="E21" s="3" t="s">
        <v>183</v>
      </c>
      <c r="F21" s="2" t="s">
        <v>6</v>
      </c>
      <c r="G21" s="2" t="s">
        <v>49</v>
      </c>
      <c r="H21" s="7" t="s">
        <v>481</v>
      </c>
      <c r="I21" s="7" t="str" cm="1">
        <f t="array" ref="I21">_xlfn.SWITCH(H21,"ELEC","Electronics","BEAU","Beauty","HOME","Home &amp; Kitchen","FASH","Fashion")</f>
        <v>Fashion</v>
      </c>
      <c r="J21" s="7" t="str">
        <f t="shared" si="0"/>
        <v>Mismatch</v>
      </c>
      <c r="K21" s="2">
        <v>5</v>
      </c>
      <c r="L21" s="8">
        <v>217.27</v>
      </c>
      <c r="M21" s="9">
        <v>0.2</v>
      </c>
      <c r="N21" s="8">
        <v>869.08</v>
      </c>
      <c r="O21" s="2" t="s">
        <v>8</v>
      </c>
      <c r="P21" s="7" t="s">
        <v>45</v>
      </c>
      <c r="Q21" s="4">
        <v>45862</v>
      </c>
      <c r="R21" s="2">
        <v>4</v>
      </c>
      <c r="S21" t="str">
        <f>IF(Table1[[#This Row],[Order Date]]&lt;Q21,"Yes","No")</f>
        <v>Yes</v>
      </c>
    </row>
    <row r="22" spans="1:19" ht="14.25" customHeight="1" x14ac:dyDescent="0.3">
      <c r="A22" s="2" t="s">
        <v>77</v>
      </c>
      <c r="B22" s="13">
        <v>45818</v>
      </c>
      <c r="C22" s="2" t="s">
        <v>78</v>
      </c>
      <c r="D22" s="3" t="s">
        <v>17</v>
      </c>
      <c r="E22" s="3" t="s">
        <v>18</v>
      </c>
      <c r="F22" s="2" t="s">
        <v>6</v>
      </c>
      <c r="G22" s="2" t="s">
        <v>29</v>
      </c>
      <c r="H22" s="7" t="s">
        <v>478</v>
      </c>
      <c r="I22" s="7" t="str" cm="1">
        <f t="array" ref="I22">_xlfn.SWITCH(H22,"ELEC","Electronics","BEAU","Beauty","HOME","Home &amp; Kitchen","FASH","Fashion")</f>
        <v>Electronics</v>
      </c>
      <c r="J22" s="7" t="str">
        <f t="shared" si="0"/>
        <v>Match</v>
      </c>
      <c r="K22" s="2">
        <v>10</v>
      </c>
      <c r="L22" s="8">
        <v>243.63</v>
      </c>
      <c r="M22" s="9">
        <v>0.2</v>
      </c>
      <c r="N22" s="8">
        <v>1949.04</v>
      </c>
      <c r="O22" s="2" t="s">
        <v>8</v>
      </c>
      <c r="P22" s="7" t="s">
        <v>45</v>
      </c>
      <c r="Q22" s="4">
        <v>45819</v>
      </c>
      <c r="S22" t="str">
        <f>IF(Table1[[#This Row],[Order Date]]&lt;Q22,"Yes","No")</f>
        <v>Yes</v>
      </c>
    </row>
    <row r="23" spans="1:19" ht="14.25" customHeight="1" x14ac:dyDescent="0.3">
      <c r="A23" s="2" t="s">
        <v>80</v>
      </c>
      <c r="B23" s="13">
        <v>45864</v>
      </c>
      <c r="C23" s="2" t="s">
        <v>81</v>
      </c>
      <c r="D23" s="3" t="s">
        <v>34</v>
      </c>
      <c r="E23" s="3" t="s">
        <v>35</v>
      </c>
      <c r="F23" s="2" t="s">
        <v>44</v>
      </c>
      <c r="G23" s="2" t="s">
        <v>13</v>
      </c>
      <c r="H23" s="7" t="s">
        <v>479</v>
      </c>
      <c r="I23" s="7" t="str" cm="1">
        <f t="array" ref="I23">_xlfn.SWITCH(H23,"ELEC","Electronics","BEAU","Beauty","HOME","Home &amp; Kitchen","FASH","Fashion")</f>
        <v>Beauty</v>
      </c>
      <c r="J23" s="7" t="str">
        <f t="shared" si="0"/>
        <v>Mismatch</v>
      </c>
      <c r="K23" s="2">
        <v>4</v>
      </c>
      <c r="L23" s="8">
        <v>293.67</v>
      </c>
      <c r="M23" s="9">
        <v>0</v>
      </c>
      <c r="N23" s="8">
        <v>1174.68</v>
      </c>
      <c r="O23" s="2" t="s">
        <v>50</v>
      </c>
      <c r="P23" s="7" t="s">
        <v>53</v>
      </c>
      <c r="Q23" s="4">
        <v>45866</v>
      </c>
      <c r="R23" s="2">
        <v>5</v>
      </c>
      <c r="S23" t="str">
        <f>IF(Table1[[#This Row],[Order Date]]&lt;Q23,"Yes","No")</f>
        <v>Yes</v>
      </c>
    </row>
    <row r="24" spans="1:19" ht="14.25" customHeight="1" x14ac:dyDescent="0.3">
      <c r="A24" s="2" t="s">
        <v>83</v>
      </c>
      <c r="B24" s="13">
        <v>45912</v>
      </c>
      <c r="C24" s="2" t="s">
        <v>16</v>
      </c>
      <c r="D24" s="3" t="s">
        <v>39</v>
      </c>
      <c r="E24" s="3" t="s">
        <v>11</v>
      </c>
      <c r="F24" s="2" t="s">
        <v>12</v>
      </c>
      <c r="G24" s="2" t="s">
        <v>19</v>
      </c>
      <c r="H24" s="7" t="s">
        <v>480</v>
      </c>
      <c r="I24" s="7" t="str" cm="1">
        <f t="array" ref="I24">_xlfn.SWITCH(H24,"ELEC","Electronics","BEAU","Beauty","HOME","Home &amp; Kitchen","FASH","Fashion")</f>
        <v>Home &amp; Kitchen</v>
      </c>
      <c r="J24" s="7" t="str">
        <f t="shared" si="0"/>
        <v>Mismatch</v>
      </c>
      <c r="K24" s="2">
        <v>4</v>
      </c>
      <c r="L24" s="8">
        <v>140.15</v>
      </c>
      <c r="M24" s="9">
        <v>1.5</v>
      </c>
      <c r="N24" s="8">
        <v>-280.3</v>
      </c>
      <c r="O24" s="2" t="s">
        <v>8</v>
      </c>
      <c r="P24" s="7" t="s">
        <v>45</v>
      </c>
      <c r="Q24" s="4">
        <v>46012</v>
      </c>
      <c r="R24" s="2">
        <v>3</v>
      </c>
      <c r="S24" t="str">
        <f>IF(Table1[[#This Row],[Order Date]]&lt;Q24,"Yes","No")</f>
        <v>Yes</v>
      </c>
    </row>
    <row r="25" spans="1:19" ht="14.25" customHeight="1" x14ac:dyDescent="0.3">
      <c r="A25" s="2" t="s">
        <v>85</v>
      </c>
      <c r="B25" s="13">
        <v>45840</v>
      </c>
      <c r="C25" s="2" t="s">
        <v>464</v>
      </c>
      <c r="D25" s="3" t="s">
        <v>58</v>
      </c>
      <c r="E25" s="3" t="s">
        <v>28</v>
      </c>
      <c r="F25" s="2" t="s">
        <v>6</v>
      </c>
      <c r="G25" s="2" t="s">
        <v>7</v>
      </c>
      <c r="H25" s="7" t="s">
        <v>478</v>
      </c>
      <c r="I25" s="7" t="str" cm="1">
        <f t="array" ref="I25">_xlfn.SWITCH(H25,"ELEC","Electronics","BEAU","Beauty","HOME","Home &amp; Kitchen","FASH","Fashion")</f>
        <v>Electronics</v>
      </c>
      <c r="J25" s="7" t="str">
        <f t="shared" si="0"/>
        <v>Match</v>
      </c>
      <c r="K25" s="2">
        <v>9</v>
      </c>
      <c r="L25" s="8">
        <v>139.94999999999999</v>
      </c>
      <c r="M25" s="9">
        <v>0.1</v>
      </c>
      <c r="N25" s="8">
        <v>1133.5999999999999</v>
      </c>
      <c r="O25" s="2" t="s">
        <v>8</v>
      </c>
      <c r="P25" s="7" t="s">
        <v>67</v>
      </c>
      <c r="Q25" s="4">
        <v>45704</v>
      </c>
      <c r="R25" s="2">
        <v>1</v>
      </c>
      <c r="S25" t="str">
        <f>IF(Table1[[#This Row],[Order Date]]&lt;Q25,"Yes","No")</f>
        <v>No</v>
      </c>
    </row>
    <row r="26" spans="1:19" ht="14.25" customHeight="1" x14ac:dyDescent="0.3">
      <c r="A26" s="2" t="s">
        <v>86</v>
      </c>
      <c r="B26" s="13">
        <v>45669</v>
      </c>
      <c r="C26" s="2" t="s">
        <v>87</v>
      </c>
      <c r="D26" s="3" t="s">
        <v>17</v>
      </c>
      <c r="E26" s="3" t="s">
        <v>18</v>
      </c>
      <c r="F26" s="2" t="s">
        <v>6</v>
      </c>
      <c r="G26" s="2" t="s">
        <v>29</v>
      </c>
      <c r="H26" s="7" t="s">
        <v>478</v>
      </c>
      <c r="I26" s="7" t="str" cm="1">
        <f t="array" ref="I26">_xlfn.SWITCH(H26,"ELEC","Electronics","BEAU","Beauty","HOME","Home &amp; Kitchen","FASH","Fashion")</f>
        <v>Electronics</v>
      </c>
      <c r="J26" s="7" t="str">
        <f t="shared" si="0"/>
        <v>Match</v>
      </c>
      <c r="K26" s="2">
        <v>9</v>
      </c>
      <c r="L26" s="8">
        <v>156.69999999999999</v>
      </c>
      <c r="M26" s="9">
        <v>0</v>
      </c>
      <c r="N26" s="8">
        <v>1410.3</v>
      </c>
      <c r="O26" s="2" t="s">
        <v>30</v>
      </c>
      <c r="P26" s="7" t="s">
        <v>53</v>
      </c>
      <c r="Q26" s="4">
        <v>46001</v>
      </c>
      <c r="R26" s="2">
        <v>8</v>
      </c>
      <c r="S26" t="str">
        <f>IF(Table1[[#This Row],[Order Date]]&lt;Q26,"Yes","No")</f>
        <v>Yes</v>
      </c>
    </row>
    <row r="27" spans="1:19" ht="14.25" customHeight="1" x14ac:dyDescent="0.3">
      <c r="A27" s="2" t="s">
        <v>89</v>
      </c>
      <c r="B27" s="13">
        <v>45765</v>
      </c>
      <c r="C27" s="2" t="s">
        <v>90</v>
      </c>
      <c r="D27" s="3" t="s">
        <v>39</v>
      </c>
      <c r="E27" s="3" t="s">
        <v>11</v>
      </c>
      <c r="F27" s="2" t="s">
        <v>12</v>
      </c>
      <c r="G27" s="2" t="s">
        <v>19</v>
      </c>
      <c r="H27" s="7" t="s">
        <v>480</v>
      </c>
      <c r="I27" s="7" t="str" cm="1">
        <f t="array" ref="I27">_xlfn.SWITCH(H27,"ELEC","Electronics","BEAU","Beauty","HOME","Home &amp; Kitchen","FASH","Fashion")</f>
        <v>Home &amp; Kitchen</v>
      </c>
      <c r="J27" s="7" t="str">
        <f t="shared" si="0"/>
        <v>Mismatch</v>
      </c>
      <c r="K27" s="2">
        <v>4</v>
      </c>
      <c r="L27" s="8">
        <v>346.87</v>
      </c>
      <c r="M27" s="9">
        <v>0.1</v>
      </c>
      <c r="N27" s="8">
        <v>1248.73</v>
      </c>
      <c r="O27" s="2" t="s">
        <v>8</v>
      </c>
      <c r="P27" s="7" t="s">
        <v>45</v>
      </c>
      <c r="Q27" s="4">
        <v>45762</v>
      </c>
      <c r="R27" s="2">
        <v>5</v>
      </c>
      <c r="S27" t="str">
        <f>IF(Table1[[#This Row],[Order Date]]&lt;Q27,"Yes","No")</f>
        <v>No</v>
      </c>
    </row>
    <row r="28" spans="1:19" ht="14.25" customHeight="1" x14ac:dyDescent="0.3">
      <c r="A28" s="2" t="s">
        <v>91</v>
      </c>
      <c r="B28" s="14">
        <v>45658</v>
      </c>
      <c r="C28" s="2" t="s">
        <v>92</v>
      </c>
      <c r="D28" s="3" t="s">
        <v>39</v>
      </c>
      <c r="E28" s="3" t="s">
        <v>11</v>
      </c>
      <c r="F28" s="2" t="s">
        <v>6</v>
      </c>
      <c r="G28" s="2" t="s">
        <v>7</v>
      </c>
      <c r="H28" s="7" t="s">
        <v>478</v>
      </c>
      <c r="I28" s="7" t="str" cm="1">
        <f t="array" ref="I28">_xlfn.SWITCH(H28,"ELEC","Electronics","BEAU","Beauty","HOME","Home &amp; Kitchen","FASH","Fashion")</f>
        <v>Electronics</v>
      </c>
      <c r="J28" s="7" t="str">
        <f t="shared" si="0"/>
        <v>Match</v>
      </c>
      <c r="K28" s="2">
        <v>0</v>
      </c>
      <c r="L28" s="8">
        <v>89.18</v>
      </c>
      <c r="M28" s="9">
        <v>0.15</v>
      </c>
      <c r="N28" s="8">
        <v>0</v>
      </c>
      <c r="O28" s="2" t="s">
        <v>8</v>
      </c>
      <c r="P28" s="7" t="s">
        <v>45</v>
      </c>
      <c r="Q28" s="4">
        <v>45665</v>
      </c>
      <c r="R28" s="2">
        <v>5</v>
      </c>
      <c r="S28" t="str">
        <f>IF(Table1[[#This Row],[Order Date]]&lt;Q28,"Yes","No")</f>
        <v>Yes</v>
      </c>
    </row>
    <row r="29" spans="1:19" ht="14.25" customHeight="1" x14ac:dyDescent="0.3">
      <c r="A29" s="2" t="s">
        <v>93</v>
      </c>
      <c r="B29" s="13">
        <v>45956</v>
      </c>
      <c r="C29" s="2" t="s">
        <v>94</v>
      </c>
      <c r="D29" s="3" t="s">
        <v>58</v>
      </c>
      <c r="E29" s="3" t="s">
        <v>28</v>
      </c>
      <c r="F29" s="2" t="s">
        <v>6</v>
      </c>
      <c r="G29" s="2" t="s">
        <v>7</v>
      </c>
      <c r="H29" s="7" t="s">
        <v>478</v>
      </c>
      <c r="I29" s="7" t="str" cm="1">
        <f t="array" ref="I29">_xlfn.SWITCH(H29,"ELEC","Electronics","BEAU","Beauty","HOME","Home &amp; Kitchen","FASH","Fashion")</f>
        <v>Electronics</v>
      </c>
      <c r="J29" s="7" t="str">
        <f t="shared" si="0"/>
        <v>Match</v>
      </c>
      <c r="K29" s="2">
        <v>7</v>
      </c>
      <c r="L29" s="8">
        <v>72.45</v>
      </c>
      <c r="M29" s="9">
        <v>0.1</v>
      </c>
      <c r="N29" s="8">
        <v>456.44</v>
      </c>
      <c r="O29" s="2" t="s">
        <v>30</v>
      </c>
      <c r="P29" s="7" t="s">
        <v>45</v>
      </c>
      <c r="R29" s="2">
        <v>3</v>
      </c>
      <c r="S29" t="str">
        <f>IF(Table1[[#This Row],[Order Date]]&lt;Q29,"Yes","No")</f>
        <v>No</v>
      </c>
    </row>
    <row r="30" spans="1:19" ht="14.25" customHeight="1" x14ac:dyDescent="0.3">
      <c r="A30" s="2" t="s">
        <v>95</v>
      </c>
      <c r="B30" s="13">
        <v>45975</v>
      </c>
      <c r="C30" s="2" t="s">
        <v>465</v>
      </c>
      <c r="D30" s="3" t="s">
        <v>58</v>
      </c>
      <c r="E30" s="3" t="s">
        <v>183</v>
      </c>
      <c r="F30" s="2" t="s">
        <v>44</v>
      </c>
      <c r="G30" s="2" t="s">
        <v>7</v>
      </c>
      <c r="H30" s="7" t="s">
        <v>478</v>
      </c>
      <c r="I30" s="7" t="str" cm="1">
        <f t="array" ref="I30">_xlfn.SWITCH(H30,"ELEC","Electronics","BEAU","Beauty","HOME","Home &amp; Kitchen","FASH","Fashion")</f>
        <v>Electronics</v>
      </c>
      <c r="J30" s="7" t="str">
        <f t="shared" si="0"/>
        <v>Mismatch</v>
      </c>
      <c r="K30" s="2">
        <v>4</v>
      </c>
      <c r="L30" s="8">
        <v>433.66</v>
      </c>
      <c r="M30" s="9">
        <v>0.05</v>
      </c>
      <c r="N30" s="8">
        <v>1647.91</v>
      </c>
      <c r="O30" s="2" t="s">
        <v>8</v>
      </c>
      <c r="P30" s="7" t="s">
        <v>67</v>
      </c>
      <c r="Q30" s="2" t="s">
        <v>96</v>
      </c>
      <c r="R30" s="2">
        <v>4</v>
      </c>
      <c r="S30" t="str">
        <f>IF(Table1[[#This Row],[Order Date]]&lt;Q30,"Yes","No")</f>
        <v>Yes</v>
      </c>
    </row>
    <row r="31" spans="1:19" ht="14.25" customHeight="1" x14ac:dyDescent="0.3">
      <c r="A31" s="2" t="s">
        <v>97</v>
      </c>
      <c r="B31" s="13">
        <v>45853</v>
      </c>
      <c r="C31" s="2" t="s">
        <v>466</v>
      </c>
      <c r="D31" s="3" t="s">
        <v>17</v>
      </c>
      <c r="E31" s="3" t="s">
        <v>18</v>
      </c>
      <c r="F31" s="2" t="s">
        <v>12</v>
      </c>
      <c r="G31" s="2" t="s">
        <v>29</v>
      </c>
      <c r="H31" s="7" t="s">
        <v>478</v>
      </c>
      <c r="I31" s="7" t="str" cm="1">
        <f t="array" ref="I31">_xlfn.SWITCH(H31,"ELEC","Electronics","BEAU","Beauty","HOME","Home &amp; Kitchen","FASH","Fashion")</f>
        <v>Electronics</v>
      </c>
      <c r="J31" s="7" t="str">
        <f t="shared" si="0"/>
        <v>Mismatch</v>
      </c>
      <c r="K31" s="2">
        <v>8</v>
      </c>
      <c r="L31" s="8">
        <v>118.99</v>
      </c>
      <c r="M31" s="9">
        <v>0.15</v>
      </c>
      <c r="N31" s="8">
        <v>809.13</v>
      </c>
      <c r="O31" s="2" t="s">
        <v>8</v>
      </c>
      <c r="P31" s="7" t="s">
        <v>45</v>
      </c>
      <c r="Q31" s="2" t="s">
        <v>98</v>
      </c>
      <c r="R31" s="2">
        <v>3</v>
      </c>
      <c r="S31" t="str">
        <f>IF(Table1[[#This Row],[Order Date]]&lt;Q31,"Yes","No")</f>
        <v>Yes</v>
      </c>
    </row>
    <row r="32" spans="1:19" ht="14.25" customHeight="1" x14ac:dyDescent="0.3">
      <c r="A32" s="2" t="s">
        <v>99</v>
      </c>
      <c r="B32" s="13">
        <v>45826</v>
      </c>
      <c r="C32" s="2" t="s">
        <v>100</v>
      </c>
      <c r="D32" s="3" t="s">
        <v>23</v>
      </c>
      <c r="E32" s="3" t="s">
        <v>24</v>
      </c>
      <c r="F32" s="2" t="s">
        <v>6</v>
      </c>
      <c r="G32" s="2" t="s">
        <v>29</v>
      </c>
      <c r="H32" s="7" t="s">
        <v>478</v>
      </c>
      <c r="I32" s="7" t="str" cm="1">
        <f t="array" ref="I32">_xlfn.SWITCH(H32,"ELEC","Electronics","BEAU","Beauty","HOME","Home &amp; Kitchen","FASH","Fashion")</f>
        <v>Electronics</v>
      </c>
      <c r="J32" s="7" t="str">
        <f t="shared" si="0"/>
        <v>Match</v>
      </c>
      <c r="K32" s="2">
        <v>5</v>
      </c>
      <c r="L32" s="8">
        <v>182.06</v>
      </c>
      <c r="M32" s="9">
        <v>0.2</v>
      </c>
      <c r="N32" s="8">
        <v>728.24</v>
      </c>
      <c r="O32" s="2" t="s">
        <v>8</v>
      </c>
      <c r="P32" s="7" t="s">
        <v>45</v>
      </c>
      <c r="Q32" s="2" t="s">
        <v>101</v>
      </c>
      <c r="R32" s="2">
        <v>4</v>
      </c>
      <c r="S32" t="str">
        <f>IF(Table1[[#This Row],[Order Date]]&lt;Q32,"Yes","No")</f>
        <v>Yes</v>
      </c>
    </row>
    <row r="33" spans="1:19" ht="14.25" customHeight="1" x14ac:dyDescent="0.3">
      <c r="A33" s="2" t="s">
        <v>102</v>
      </c>
      <c r="B33" s="13">
        <v>45699</v>
      </c>
      <c r="C33" s="2" t="s">
        <v>103</v>
      </c>
      <c r="D33" s="3" t="s">
        <v>17</v>
      </c>
      <c r="E33" s="3" t="s">
        <v>18</v>
      </c>
      <c r="F33" s="2" t="s">
        <v>6</v>
      </c>
      <c r="G33" s="2" t="s">
        <v>19</v>
      </c>
      <c r="H33" s="7" t="s">
        <v>480</v>
      </c>
      <c r="I33" s="7" t="str" cm="1">
        <f t="array" ref="I33">_xlfn.SWITCH(H33,"ELEC","Electronics","BEAU","Beauty","HOME","Home &amp; Kitchen","FASH","Fashion")</f>
        <v>Home &amp; Kitchen</v>
      </c>
      <c r="J33" s="7" t="str">
        <f t="shared" si="0"/>
        <v>Mismatch</v>
      </c>
      <c r="K33" s="2">
        <v>6</v>
      </c>
      <c r="L33" s="8">
        <v>223.83</v>
      </c>
      <c r="M33" s="9">
        <v>0.2</v>
      </c>
      <c r="N33" s="8">
        <v>1074.3800000000001</v>
      </c>
      <c r="O33" s="2" t="s">
        <v>8</v>
      </c>
      <c r="P33" s="7" t="s">
        <v>45</v>
      </c>
      <c r="Q33" s="2" t="s">
        <v>104</v>
      </c>
      <c r="R33" s="2">
        <v>1</v>
      </c>
      <c r="S33" t="str">
        <f>IF(Table1[[#This Row],[Order Date]]&lt;Q33,"Yes","No")</f>
        <v>Yes</v>
      </c>
    </row>
    <row r="34" spans="1:19" ht="14.25" customHeight="1" x14ac:dyDescent="0.3">
      <c r="A34" s="2" t="s">
        <v>105</v>
      </c>
      <c r="B34" s="13">
        <v>46009</v>
      </c>
      <c r="C34" s="2" t="s">
        <v>106</v>
      </c>
      <c r="D34" s="3" t="s">
        <v>23</v>
      </c>
      <c r="E34" s="3" t="s">
        <v>24</v>
      </c>
      <c r="F34" s="2" t="s">
        <v>12</v>
      </c>
      <c r="G34" s="2" t="s">
        <v>7</v>
      </c>
      <c r="H34" s="7" t="s">
        <v>478</v>
      </c>
      <c r="I34" s="7" t="str" cm="1">
        <f t="array" ref="I34">_xlfn.SWITCH(H34,"ELEC","Electronics","BEAU","Beauty","HOME","Home &amp; Kitchen","FASH","Fashion")</f>
        <v>Electronics</v>
      </c>
      <c r="J34" s="7" t="str">
        <f t="shared" si="0"/>
        <v>Mismatch</v>
      </c>
      <c r="K34" s="2">
        <v>6</v>
      </c>
      <c r="L34" s="8">
        <v>221.34</v>
      </c>
      <c r="M34" s="9">
        <v>0.1</v>
      </c>
      <c r="N34" s="8">
        <v>1195.24</v>
      </c>
      <c r="O34" s="2" t="s">
        <v>8</v>
      </c>
      <c r="P34" s="7" t="s">
        <v>14</v>
      </c>
      <c r="Q34" s="2" t="s">
        <v>107</v>
      </c>
      <c r="R34" s="2">
        <v>5</v>
      </c>
      <c r="S34" t="str">
        <f>IF(Table1[[#This Row],[Order Date]]&lt;Q34,"Yes","No")</f>
        <v>Yes</v>
      </c>
    </row>
    <row r="35" spans="1:19" ht="14.25" customHeight="1" x14ac:dyDescent="0.3">
      <c r="A35" s="2" t="s">
        <v>108</v>
      </c>
      <c r="B35" s="14">
        <v>45658</v>
      </c>
      <c r="C35" s="2" t="s">
        <v>109</v>
      </c>
      <c r="D35" s="3" t="s">
        <v>39</v>
      </c>
      <c r="E35" s="3" t="s">
        <v>11</v>
      </c>
      <c r="F35" s="2" t="s">
        <v>44</v>
      </c>
      <c r="G35" s="2" t="s">
        <v>49</v>
      </c>
      <c r="H35" s="7" t="s">
        <v>481</v>
      </c>
      <c r="I35" s="7" t="str" cm="1">
        <f t="array" ref="I35">_xlfn.SWITCH(H35,"ELEC","Electronics","BEAU","Beauty","HOME","Home &amp; Kitchen","FASH","Fashion")</f>
        <v>Fashion</v>
      </c>
      <c r="J35" s="7" t="str">
        <f t="shared" si="0"/>
        <v>Match</v>
      </c>
      <c r="K35" s="2">
        <v>5</v>
      </c>
      <c r="L35" s="8">
        <v>281.66000000000003</v>
      </c>
      <c r="M35" s="9">
        <v>0.05</v>
      </c>
      <c r="N35" s="8">
        <v>1337.89</v>
      </c>
      <c r="O35" s="2" t="s">
        <v>8</v>
      </c>
      <c r="P35" s="7" t="s">
        <v>53</v>
      </c>
      <c r="Q35" s="2" t="s">
        <v>110</v>
      </c>
      <c r="R35" s="2">
        <v>4</v>
      </c>
      <c r="S35" t="str">
        <f>IF(Table1[[#This Row],[Order Date]]&lt;Q35,"Yes","No")</f>
        <v>Yes</v>
      </c>
    </row>
    <row r="36" spans="1:19" ht="14.25" customHeight="1" x14ac:dyDescent="0.3">
      <c r="A36" s="2" t="s">
        <v>111</v>
      </c>
      <c r="B36" s="13">
        <v>45658</v>
      </c>
      <c r="C36" s="2" t="s">
        <v>138</v>
      </c>
      <c r="D36" s="3" t="s">
        <v>34</v>
      </c>
      <c r="E36" s="3" t="s">
        <v>35</v>
      </c>
      <c r="F36" s="2" t="s">
        <v>71</v>
      </c>
      <c r="G36" s="2" t="s">
        <v>19</v>
      </c>
      <c r="H36" s="7" t="s">
        <v>480</v>
      </c>
      <c r="I36" s="7" t="str" cm="1">
        <f t="array" ref="I36">_xlfn.SWITCH(H36,"ELEC","Electronics","BEAU","Beauty","HOME","Home &amp; Kitchen","FASH","Fashion")</f>
        <v>Home &amp; Kitchen</v>
      </c>
      <c r="J36" s="7" t="str">
        <f t="shared" si="0"/>
        <v>Match</v>
      </c>
      <c r="K36" s="2">
        <v>4</v>
      </c>
      <c r="L36" s="8">
        <v>220.65</v>
      </c>
      <c r="M36" s="9">
        <v>0.2</v>
      </c>
      <c r="N36" s="8">
        <v>706.08</v>
      </c>
      <c r="O36" s="2" t="s">
        <v>40</v>
      </c>
      <c r="P36" s="7" t="s">
        <v>14</v>
      </c>
      <c r="Q36" s="2" t="s">
        <v>112</v>
      </c>
      <c r="R36" s="2">
        <v>5</v>
      </c>
      <c r="S36" t="str">
        <f>IF(Table1[[#This Row],[Order Date]]&lt;Q36,"Yes","No")</f>
        <v>Yes</v>
      </c>
    </row>
    <row r="37" spans="1:19" ht="14.25" customHeight="1" x14ac:dyDescent="0.3">
      <c r="A37" s="2" t="s">
        <v>113</v>
      </c>
      <c r="B37" s="13">
        <v>45759</v>
      </c>
      <c r="C37" s="2" t="s">
        <v>114</v>
      </c>
      <c r="D37" s="3" t="s">
        <v>58</v>
      </c>
      <c r="E37" s="3" t="s">
        <v>5</v>
      </c>
      <c r="F37" s="2" t="s">
        <v>12</v>
      </c>
      <c r="G37" s="2" t="s">
        <v>19</v>
      </c>
      <c r="H37" s="7" t="s">
        <v>480</v>
      </c>
      <c r="I37" s="7" t="str" cm="1">
        <f t="array" ref="I37">_xlfn.SWITCH(H37,"ELEC","Electronics","BEAU","Beauty","HOME","Home &amp; Kitchen","FASH","Fashion")</f>
        <v>Home &amp; Kitchen</v>
      </c>
      <c r="J37" s="7" t="str">
        <f t="shared" si="0"/>
        <v>Mismatch</v>
      </c>
      <c r="K37" s="2">
        <v>9</v>
      </c>
      <c r="L37" s="8">
        <v>335.29</v>
      </c>
      <c r="M37" s="9">
        <v>0.2</v>
      </c>
      <c r="N37" s="8">
        <v>2414.09</v>
      </c>
      <c r="O37" s="2" t="s">
        <v>8</v>
      </c>
      <c r="P37" s="7" t="s">
        <v>14</v>
      </c>
      <c r="Q37" s="2" t="s">
        <v>115</v>
      </c>
      <c r="R37" s="2">
        <v>3</v>
      </c>
      <c r="S37" t="str">
        <f>IF(Table1[[#This Row],[Order Date]]&lt;Q37,"Yes","No")</f>
        <v>Yes</v>
      </c>
    </row>
    <row r="38" spans="1:19" ht="14.25" customHeight="1" x14ac:dyDescent="0.3">
      <c r="A38" s="2" t="s">
        <v>116</v>
      </c>
      <c r="B38" s="13">
        <v>45670</v>
      </c>
      <c r="C38" s="2" t="s">
        <v>117</v>
      </c>
      <c r="D38" s="3" t="s">
        <v>39</v>
      </c>
      <c r="E38" s="3" t="s">
        <v>11</v>
      </c>
      <c r="F38" s="2" t="s">
        <v>44</v>
      </c>
      <c r="G38" s="2" t="s">
        <v>7</v>
      </c>
      <c r="H38" s="7" t="s">
        <v>478</v>
      </c>
      <c r="I38" s="7" t="str" cm="1">
        <f t="array" ref="I38">_xlfn.SWITCH(H38,"ELEC","Electronics","BEAU","Beauty","HOME","Home &amp; Kitchen","FASH","Fashion")</f>
        <v>Electronics</v>
      </c>
      <c r="J38" s="7" t="str">
        <f t="shared" si="0"/>
        <v>Mismatch</v>
      </c>
      <c r="K38" s="2">
        <v>-2</v>
      </c>
      <c r="L38" s="8">
        <v>309.52</v>
      </c>
      <c r="M38" s="9">
        <v>0</v>
      </c>
      <c r="N38" s="8">
        <v>-619.04</v>
      </c>
      <c r="O38" s="2" t="s">
        <v>8</v>
      </c>
      <c r="P38" s="7" t="s">
        <v>14</v>
      </c>
      <c r="Q38" s="2" t="s">
        <v>118</v>
      </c>
      <c r="R38" s="2">
        <v>4</v>
      </c>
      <c r="S38" t="str">
        <f>IF(Table1[[#This Row],[Order Date]]&lt;Q38,"Yes","No")</f>
        <v>Yes</v>
      </c>
    </row>
    <row r="39" spans="1:19" ht="14.25" customHeight="1" x14ac:dyDescent="0.3">
      <c r="A39" s="2" t="s">
        <v>119</v>
      </c>
      <c r="B39" s="13">
        <v>45733</v>
      </c>
      <c r="C39" s="2" t="s">
        <v>120</v>
      </c>
      <c r="D39" s="3" t="s">
        <v>39</v>
      </c>
      <c r="E39" s="3" t="s">
        <v>11</v>
      </c>
      <c r="F39" s="2" t="s">
        <v>44</v>
      </c>
      <c r="G39" s="2" t="s">
        <v>29</v>
      </c>
      <c r="H39" s="7" t="s">
        <v>478</v>
      </c>
      <c r="I39" s="7" t="str" cm="1">
        <f t="array" ref="I39">_xlfn.SWITCH(H39,"ELEC","Electronics","BEAU","Beauty","HOME","Home &amp; Kitchen","FASH","Fashion")</f>
        <v>Electronics</v>
      </c>
      <c r="J39" s="7" t="str">
        <f t="shared" si="0"/>
        <v>Mismatch</v>
      </c>
      <c r="K39" s="2">
        <v>2</v>
      </c>
      <c r="L39" s="8">
        <v>391.43</v>
      </c>
      <c r="M39" s="9">
        <v>0.05</v>
      </c>
      <c r="N39" s="8">
        <v>743.72</v>
      </c>
      <c r="O39" s="2" t="s">
        <v>8</v>
      </c>
      <c r="P39" s="7" t="s">
        <v>45</v>
      </c>
      <c r="Q39" s="2" t="s">
        <v>121</v>
      </c>
      <c r="R39" s="2">
        <v>2</v>
      </c>
      <c r="S39" t="str">
        <f>IF(Table1[[#This Row],[Order Date]]&lt;Q39,"Yes","No")</f>
        <v>Yes</v>
      </c>
    </row>
    <row r="40" spans="1:19" ht="14.25" customHeight="1" x14ac:dyDescent="0.3">
      <c r="A40" s="2" t="s">
        <v>122</v>
      </c>
      <c r="B40" s="13">
        <v>45929</v>
      </c>
      <c r="C40" s="2" t="s">
        <v>123</v>
      </c>
      <c r="D40" s="3" t="s">
        <v>39</v>
      </c>
      <c r="E40" s="3" t="s">
        <v>11</v>
      </c>
      <c r="F40" s="2" t="s">
        <v>44</v>
      </c>
      <c r="G40" s="2" t="s">
        <v>13</v>
      </c>
      <c r="H40" s="7" t="s">
        <v>479</v>
      </c>
      <c r="I40" s="7" t="str" cm="1">
        <f t="array" ref="I40">_xlfn.SWITCH(H40,"ELEC","Electronics","BEAU","Beauty","HOME","Home &amp; Kitchen","FASH","Fashion")</f>
        <v>Beauty</v>
      </c>
      <c r="J40" s="7" t="str">
        <f t="shared" si="0"/>
        <v>Mismatch</v>
      </c>
      <c r="K40" s="2">
        <v>6</v>
      </c>
      <c r="L40" s="8">
        <v>475.52</v>
      </c>
      <c r="M40" s="9">
        <v>0.15</v>
      </c>
      <c r="N40" s="8">
        <v>2425.15</v>
      </c>
      <c r="O40" s="2" t="s">
        <v>40</v>
      </c>
      <c r="P40" s="7" t="s">
        <v>45</v>
      </c>
      <c r="Q40" s="2" t="s">
        <v>46</v>
      </c>
      <c r="R40" s="2">
        <v>5</v>
      </c>
      <c r="S40" t="str">
        <f>IF(Table1[[#This Row],[Order Date]]&lt;Q40,"Yes","No")</f>
        <v>Yes</v>
      </c>
    </row>
    <row r="41" spans="1:19" ht="14.25" customHeight="1" x14ac:dyDescent="0.3">
      <c r="A41" s="2" t="s">
        <v>124</v>
      </c>
      <c r="B41" s="13">
        <v>45984</v>
      </c>
      <c r="C41" s="2" t="s">
        <v>125</v>
      </c>
      <c r="D41" s="3" t="s">
        <v>23</v>
      </c>
      <c r="E41" s="3" t="s">
        <v>24</v>
      </c>
      <c r="F41" s="2" t="s">
        <v>6</v>
      </c>
      <c r="G41" s="2" t="s">
        <v>13</v>
      </c>
      <c r="H41" s="7" t="s">
        <v>479</v>
      </c>
      <c r="I41" s="7" t="str" cm="1">
        <f t="array" ref="I41">_xlfn.SWITCH(H41,"ELEC","Electronics","BEAU","Beauty","HOME","Home &amp; Kitchen","FASH","Fashion")</f>
        <v>Beauty</v>
      </c>
      <c r="J41" s="7" t="str">
        <f t="shared" si="0"/>
        <v>Mismatch</v>
      </c>
      <c r="K41" s="2">
        <v>8</v>
      </c>
      <c r="L41" s="8">
        <v>317.11</v>
      </c>
      <c r="M41" s="9">
        <v>0.1</v>
      </c>
      <c r="N41" s="8">
        <v>2283.19</v>
      </c>
      <c r="O41" s="2" t="s">
        <v>8</v>
      </c>
      <c r="P41" s="7" t="s">
        <v>31</v>
      </c>
      <c r="Q41" s="2" t="s">
        <v>126</v>
      </c>
      <c r="R41" s="2">
        <v>4</v>
      </c>
      <c r="S41" t="str">
        <f>IF(Table1[[#This Row],[Order Date]]&lt;Q41,"Yes","No")</f>
        <v>Yes</v>
      </c>
    </row>
    <row r="42" spans="1:19" ht="14.25" customHeight="1" x14ac:dyDescent="0.3">
      <c r="A42" s="2" t="s">
        <v>127</v>
      </c>
      <c r="B42" s="13">
        <v>45728</v>
      </c>
      <c r="C42" s="2" t="s">
        <v>128</v>
      </c>
      <c r="D42" s="3" t="s">
        <v>34</v>
      </c>
      <c r="E42" s="3" t="s">
        <v>35</v>
      </c>
      <c r="F42" s="2" t="s">
        <v>6</v>
      </c>
      <c r="G42" s="2" t="s">
        <v>7</v>
      </c>
      <c r="H42" s="7" t="s">
        <v>478</v>
      </c>
      <c r="I42" s="7" t="str" cm="1">
        <f t="array" ref="I42">_xlfn.SWITCH(H42,"ELEC","Electronics","BEAU","Beauty","HOME","Home &amp; Kitchen","FASH","Fashion")</f>
        <v>Electronics</v>
      </c>
      <c r="J42" s="7" t="str">
        <f t="shared" si="0"/>
        <v>Match</v>
      </c>
      <c r="K42" s="2">
        <v>7</v>
      </c>
      <c r="L42" s="8">
        <v>350.04</v>
      </c>
      <c r="M42" s="9">
        <v>0.05</v>
      </c>
      <c r="N42" s="8">
        <v>2327.77</v>
      </c>
      <c r="O42" s="2" t="s">
        <v>50</v>
      </c>
      <c r="P42" s="7" t="s">
        <v>67</v>
      </c>
      <c r="Q42" s="2" t="s">
        <v>129</v>
      </c>
      <c r="S42" t="str">
        <f>IF(Table1[[#This Row],[Order Date]]&lt;Q42,"Yes","No")</f>
        <v>Yes</v>
      </c>
    </row>
    <row r="43" spans="1:19" ht="14.25" customHeight="1" x14ac:dyDescent="0.3">
      <c r="A43" s="2" t="s">
        <v>130</v>
      </c>
      <c r="B43" s="13">
        <v>45857</v>
      </c>
      <c r="C43" s="2" t="s">
        <v>131</v>
      </c>
      <c r="D43" s="3" t="s">
        <v>58</v>
      </c>
      <c r="E43" s="3" t="s">
        <v>5</v>
      </c>
      <c r="F43" s="2" t="s">
        <v>6</v>
      </c>
      <c r="G43" s="2" t="s">
        <v>13</v>
      </c>
      <c r="H43" s="7" t="s">
        <v>479</v>
      </c>
      <c r="I43" s="7" t="str" cm="1">
        <f t="array" ref="I43">_xlfn.SWITCH(H43,"ELEC","Electronics","BEAU","Beauty","HOME","Home &amp; Kitchen","FASH","Fashion")</f>
        <v>Beauty</v>
      </c>
      <c r="J43" s="7" t="str">
        <f t="shared" si="0"/>
        <v>Mismatch</v>
      </c>
      <c r="K43" s="2">
        <v>1</v>
      </c>
      <c r="L43" s="8">
        <v>429.8</v>
      </c>
      <c r="M43" s="9">
        <v>0.2</v>
      </c>
      <c r="N43" s="8">
        <v>343.84</v>
      </c>
      <c r="O43" s="2" t="s">
        <v>8</v>
      </c>
      <c r="P43" s="7" t="s">
        <v>67</v>
      </c>
      <c r="Q43" s="2" t="s">
        <v>132</v>
      </c>
      <c r="R43" s="2">
        <v>4</v>
      </c>
      <c r="S43" t="str">
        <f>IF(Table1[[#This Row],[Order Date]]&lt;Q43,"Yes","No")</f>
        <v>Yes</v>
      </c>
    </row>
    <row r="44" spans="1:19" ht="14.25" customHeight="1" x14ac:dyDescent="0.3">
      <c r="A44" s="2" t="s">
        <v>133</v>
      </c>
      <c r="B44" s="13">
        <v>45788</v>
      </c>
      <c r="C44" s="2" t="s">
        <v>134</v>
      </c>
      <c r="D44" s="3" t="s">
        <v>39</v>
      </c>
      <c r="E44" s="3" t="s">
        <v>11</v>
      </c>
      <c r="F44" s="2" t="s">
        <v>44</v>
      </c>
      <c r="G44" s="2" t="s">
        <v>49</v>
      </c>
      <c r="H44" s="7" t="s">
        <v>481</v>
      </c>
      <c r="I44" s="7" t="str" cm="1">
        <f t="array" ref="I44">_xlfn.SWITCH(H44,"ELEC","Electronics","BEAU","Beauty","HOME","Home &amp; Kitchen","FASH","Fashion")</f>
        <v>Fashion</v>
      </c>
      <c r="J44" s="7" t="str">
        <f t="shared" si="0"/>
        <v>Match</v>
      </c>
      <c r="K44" s="2">
        <v>4</v>
      </c>
      <c r="L44" s="8">
        <v>143.74</v>
      </c>
      <c r="M44" s="9">
        <v>0.15</v>
      </c>
      <c r="N44" s="8">
        <v>488.72</v>
      </c>
      <c r="O44" s="2" t="s">
        <v>30</v>
      </c>
      <c r="P44" s="7" t="s">
        <v>67</v>
      </c>
      <c r="Q44" s="2" t="s">
        <v>104</v>
      </c>
      <c r="R44" s="2">
        <v>1</v>
      </c>
      <c r="S44" t="str">
        <f>IF(Table1[[#This Row],[Order Date]]&lt;Q44,"Yes","No")</f>
        <v>Yes</v>
      </c>
    </row>
    <row r="45" spans="1:19" ht="14.25" customHeight="1" x14ac:dyDescent="0.3">
      <c r="A45" s="2" t="s">
        <v>135</v>
      </c>
      <c r="B45" s="13">
        <v>45976</v>
      </c>
      <c r="C45" s="2" t="s">
        <v>136</v>
      </c>
      <c r="D45" s="3" t="s">
        <v>58</v>
      </c>
      <c r="E45" s="3" t="s">
        <v>183</v>
      </c>
      <c r="F45" s="2" t="s">
        <v>12</v>
      </c>
      <c r="G45" s="2" t="s">
        <v>29</v>
      </c>
      <c r="H45" s="7" t="s">
        <v>478</v>
      </c>
      <c r="I45" s="7" t="str" cm="1">
        <f t="array" ref="I45">_xlfn.SWITCH(H45,"ELEC","Electronics","BEAU","Beauty","HOME","Home &amp; Kitchen","FASH","Fashion")</f>
        <v>Electronics</v>
      </c>
      <c r="J45" s="7" t="str">
        <f t="shared" si="0"/>
        <v>Mismatch</v>
      </c>
      <c r="K45" s="2">
        <v>7</v>
      </c>
      <c r="L45" s="8">
        <v>300.02999999999997</v>
      </c>
      <c r="M45" s="9">
        <v>0</v>
      </c>
      <c r="N45" s="8">
        <v>2100.21</v>
      </c>
      <c r="O45" s="2" t="s">
        <v>40</v>
      </c>
      <c r="P45" s="7" t="s">
        <v>45</v>
      </c>
      <c r="Q45" s="2" t="s">
        <v>56</v>
      </c>
      <c r="R45" s="2">
        <v>1</v>
      </c>
      <c r="S45" t="str">
        <f>IF(Table1[[#This Row],[Order Date]]&lt;Q45,"Yes","No")</f>
        <v>Yes</v>
      </c>
    </row>
    <row r="46" spans="1:19" ht="14.25" customHeight="1" x14ac:dyDescent="0.3">
      <c r="A46" s="2" t="s">
        <v>137</v>
      </c>
      <c r="B46" s="13">
        <v>45766</v>
      </c>
      <c r="C46" s="2" t="s">
        <v>138</v>
      </c>
      <c r="D46" s="3" t="s">
        <v>39</v>
      </c>
      <c r="E46" s="3" t="s">
        <v>11</v>
      </c>
      <c r="F46" s="2" t="s">
        <v>12</v>
      </c>
      <c r="G46" s="2" t="s">
        <v>19</v>
      </c>
      <c r="H46" s="7" t="s">
        <v>480</v>
      </c>
      <c r="I46" s="7" t="str" cm="1">
        <f t="array" ref="I46">_xlfn.SWITCH(H46,"ELEC","Electronics","BEAU","Beauty","HOME","Home &amp; Kitchen","FASH","Fashion")</f>
        <v>Home &amp; Kitchen</v>
      </c>
      <c r="J46" s="7" t="str">
        <f t="shared" si="0"/>
        <v>Mismatch</v>
      </c>
      <c r="K46" s="2">
        <v>6</v>
      </c>
      <c r="L46" s="8">
        <v>383</v>
      </c>
      <c r="M46" s="9">
        <v>1.5</v>
      </c>
      <c r="N46" s="8">
        <v>-1149</v>
      </c>
      <c r="O46" s="2" t="s">
        <v>8</v>
      </c>
      <c r="P46" s="7" t="s">
        <v>67</v>
      </c>
      <c r="Q46" s="2" t="s">
        <v>139</v>
      </c>
      <c r="R46" s="2">
        <v>3</v>
      </c>
      <c r="S46" t="str">
        <f>IF(Table1[[#This Row],[Order Date]]&lt;Q46,"Yes","No")</f>
        <v>Yes</v>
      </c>
    </row>
    <row r="47" spans="1:19" ht="14.25" customHeight="1" x14ac:dyDescent="0.3">
      <c r="A47" s="2" t="s">
        <v>140</v>
      </c>
      <c r="B47" s="13">
        <v>45837</v>
      </c>
      <c r="C47" s="2" t="s">
        <v>78</v>
      </c>
      <c r="D47" s="3" t="s">
        <v>17</v>
      </c>
      <c r="E47" s="3" t="s">
        <v>18</v>
      </c>
      <c r="F47" s="2" t="s">
        <v>6</v>
      </c>
      <c r="G47" s="2" t="s">
        <v>29</v>
      </c>
      <c r="H47" s="7" t="s">
        <v>478</v>
      </c>
      <c r="I47" s="7" t="str" cm="1">
        <f t="array" ref="I47">_xlfn.SWITCH(H47,"ELEC","Electronics","BEAU","Beauty","HOME","Home &amp; Kitchen","FASH","Fashion")</f>
        <v>Electronics</v>
      </c>
      <c r="J47" s="7" t="str">
        <f t="shared" si="0"/>
        <v>Match</v>
      </c>
      <c r="K47" s="2">
        <v>1</v>
      </c>
      <c r="L47" s="8">
        <v>379.57</v>
      </c>
      <c r="M47" s="9">
        <v>0.05</v>
      </c>
      <c r="N47" s="8">
        <v>360.59</v>
      </c>
      <c r="O47" s="2" t="s">
        <v>8</v>
      </c>
      <c r="P47" s="7" t="s">
        <v>45</v>
      </c>
      <c r="Q47" s="2" t="s">
        <v>141</v>
      </c>
      <c r="R47" s="2">
        <v>2</v>
      </c>
      <c r="S47" t="str">
        <f>IF(Table1[[#This Row],[Order Date]]&lt;Q47,"Yes","No")</f>
        <v>Yes</v>
      </c>
    </row>
    <row r="48" spans="1:19" ht="14.25" customHeight="1" x14ac:dyDescent="0.3">
      <c r="A48" s="2" t="s">
        <v>142</v>
      </c>
      <c r="B48" s="13">
        <v>45769</v>
      </c>
      <c r="C48" s="2" t="s">
        <v>4</v>
      </c>
      <c r="D48" s="3" t="s">
        <v>58</v>
      </c>
      <c r="E48" s="3" t="s">
        <v>28</v>
      </c>
      <c r="F48" s="2" t="s">
        <v>6</v>
      </c>
      <c r="G48" s="2" t="s">
        <v>19</v>
      </c>
      <c r="H48" s="7" t="s">
        <v>480</v>
      </c>
      <c r="I48" s="7" t="str" cm="1">
        <f t="array" ref="I48">_xlfn.SWITCH(H48,"ELEC","Electronics","BEAU","Beauty","HOME","Home &amp; Kitchen","FASH","Fashion")</f>
        <v>Home &amp; Kitchen</v>
      </c>
      <c r="J48" s="7" t="str">
        <f t="shared" si="0"/>
        <v>Mismatch</v>
      </c>
      <c r="K48" s="2">
        <v>6</v>
      </c>
      <c r="L48" s="8">
        <v>92.22</v>
      </c>
      <c r="M48" s="9">
        <v>0.2</v>
      </c>
      <c r="N48" s="8">
        <v>442.66</v>
      </c>
      <c r="O48" s="2" t="s">
        <v>50</v>
      </c>
      <c r="P48" s="7" t="s">
        <v>45</v>
      </c>
      <c r="Q48" s="2" t="s">
        <v>143</v>
      </c>
      <c r="R48" s="2">
        <v>1</v>
      </c>
      <c r="S48" t="str">
        <f>IF(Table1[[#This Row],[Order Date]]&lt;Q48,"Yes","No")</f>
        <v>Yes</v>
      </c>
    </row>
    <row r="49" spans="1:19" ht="14.25" customHeight="1" x14ac:dyDescent="0.3">
      <c r="A49" s="2" t="s">
        <v>144</v>
      </c>
      <c r="B49" s="13">
        <v>45861</v>
      </c>
      <c r="C49" s="2" t="s">
        <v>33</v>
      </c>
      <c r="D49" s="3" t="s">
        <v>17</v>
      </c>
      <c r="E49" s="3" t="s">
        <v>18</v>
      </c>
      <c r="F49" s="2" t="s">
        <v>44</v>
      </c>
      <c r="G49" s="2" t="s">
        <v>7</v>
      </c>
      <c r="H49" s="7" t="s">
        <v>478</v>
      </c>
      <c r="I49" s="7" t="str" cm="1">
        <f t="array" ref="I49">_xlfn.SWITCH(H49,"ELEC","Electronics","BEAU","Beauty","HOME","Home &amp; Kitchen","FASH","Fashion")</f>
        <v>Electronics</v>
      </c>
      <c r="J49" s="7" t="str">
        <f t="shared" si="0"/>
        <v>Mismatch</v>
      </c>
      <c r="K49" s="2">
        <v>2</v>
      </c>
      <c r="L49" s="8">
        <v>300.13</v>
      </c>
      <c r="M49" s="9">
        <v>0.05</v>
      </c>
      <c r="N49" s="8">
        <v>570.25</v>
      </c>
      <c r="O49" s="2" t="s">
        <v>50</v>
      </c>
      <c r="P49" s="7" t="s">
        <v>45</v>
      </c>
      <c r="Q49" s="2" t="s">
        <v>110</v>
      </c>
      <c r="R49" s="2">
        <v>1</v>
      </c>
      <c r="S49" t="str">
        <f>IF(Table1[[#This Row],[Order Date]]&lt;Q49,"Yes","No")</f>
        <v>Yes</v>
      </c>
    </row>
    <row r="50" spans="1:19" ht="14.25" customHeight="1" x14ac:dyDescent="0.3">
      <c r="A50" s="2" t="s">
        <v>145</v>
      </c>
      <c r="B50" s="13">
        <v>45930</v>
      </c>
      <c r="C50" s="2" t="s">
        <v>146</v>
      </c>
      <c r="D50" s="3" t="s">
        <v>39</v>
      </c>
      <c r="E50" s="3" t="s">
        <v>11</v>
      </c>
      <c r="F50" s="2" t="s">
        <v>71</v>
      </c>
      <c r="G50" s="2" t="s">
        <v>19</v>
      </c>
      <c r="H50" s="7" t="s">
        <v>480</v>
      </c>
      <c r="I50" s="7" t="str" cm="1">
        <f t="array" ref="I50">_xlfn.SWITCH(H50,"ELEC","Electronics","BEAU","Beauty","HOME","Home &amp; Kitchen","FASH","Fashion")</f>
        <v>Home &amp; Kitchen</v>
      </c>
      <c r="J50" s="7" t="str">
        <f t="shared" si="0"/>
        <v>Match</v>
      </c>
      <c r="K50" s="2">
        <v>2</v>
      </c>
      <c r="L50" s="8">
        <v>257.92</v>
      </c>
      <c r="M50" s="9">
        <v>0.1</v>
      </c>
      <c r="N50" s="8">
        <v>464.26</v>
      </c>
      <c r="O50" s="2" t="s">
        <v>8</v>
      </c>
      <c r="P50" s="7" t="s">
        <v>67</v>
      </c>
      <c r="Q50" s="2" t="s">
        <v>147</v>
      </c>
      <c r="R50" s="2">
        <v>8</v>
      </c>
      <c r="S50" t="str">
        <f>IF(Table1[[#This Row],[Order Date]]&lt;Q50,"Yes","No")</f>
        <v>Yes</v>
      </c>
    </row>
    <row r="51" spans="1:19" ht="14.25" customHeight="1" x14ac:dyDescent="0.3">
      <c r="A51" s="2" t="s">
        <v>148</v>
      </c>
      <c r="B51" s="13">
        <v>45969</v>
      </c>
      <c r="C51" s="2" t="s">
        <v>149</v>
      </c>
      <c r="D51" s="3" t="s">
        <v>39</v>
      </c>
      <c r="E51" s="3" t="s">
        <v>11</v>
      </c>
      <c r="F51" s="2" t="s">
        <v>12</v>
      </c>
      <c r="G51" s="2" t="s">
        <v>13</v>
      </c>
      <c r="H51" s="7" t="s">
        <v>479</v>
      </c>
      <c r="I51" s="7" t="str" cm="1">
        <f t="array" ref="I51">_xlfn.SWITCH(H51,"ELEC","Electronics","BEAU","Beauty","HOME","Home &amp; Kitchen","FASH","Fashion")</f>
        <v>Beauty</v>
      </c>
      <c r="J51" s="7" t="str">
        <f t="shared" si="0"/>
        <v>Match</v>
      </c>
      <c r="K51" s="2">
        <v>5</v>
      </c>
      <c r="L51" s="8">
        <v>311.8</v>
      </c>
      <c r="M51" s="9">
        <v>0.2</v>
      </c>
      <c r="N51" s="8">
        <v>1247.2</v>
      </c>
      <c r="O51" s="2" t="s">
        <v>30</v>
      </c>
      <c r="P51" s="7" t="s">
        <v>53</v>
      </c>
      <c r="Q51" s="2" t="s">
        <v>150</v>
      </c>
      <c r="R51" s="2">
        <v>4</v>
      </c>
      <c r="S51" t="str">
        <f>IF(Table1[[#This Row],[Order Date]]&lt;Q51,"Yes","No")</f>
        <v>Yes</v>
      </c>
    </row>
    <row r="52" spans="1:19" ht="14.25" customHeight="1" x14ac:dyDescent="0.3">
      <c r="A52" s="2" t="s">
        <v>151</v>
      </c>
      <c r="B52" s="13">
        <v>45800</v>
      </c>
      <c r="C52" s="2" t="s">
        <v>152</v>
      </c>
      <c r="D52" s="3" t="s">
        <v>34</v>
      </c>
      <c r="E52" s="3" t="s">
        <v>35</v>
      </c>
      <c r="F52" s="2" t="s">
        <v>12</v>
      </c>
      <c r="G52" s="2" t="s">
        <v>7</v>
      </c>
      <c r="H52" s="7" t="s">
        <v>478</v>
      </c>
      <c r="I52" s="7" t="str" cm="1">
        <f t="array" ref="I52">_xlfn.SWITCH(H52,"ELEC","Electronics","BEAU","Beauty","HOME","Home &amp; Kitchen","FASH","Fashion")</f>
        <v>Electronics</v>
      </c>
      <c r="J52" s="7" t="str">
        <f t="shared" si="0"/>
        <v>Mismatch</v>
      </c>
      <c r="K52" s="2">
        <v>8</v>
      </c>
      <c r="L52" s="8">
        <v>289.23</v>
      </c>
      <c r="M52" s="9">
        <v>0.15</v>
      </c>
      <c r="N52" s="8">
        <v>1966.76</v>
      </c>
      <c r="O52" s="2" t="s">
        <v>8</v>
      </c>
      <c r="P52" s="7" t="s">
        <v>45</v>
      </c>
      <c r="Q52" s="2" t="s">
        <v>41</v>
      </c>
      <c r="R52" s="2">
        <v>3</v>
      </c>
      <c r="S52" t="str">
        <f>IF(Table1[[#This Row],[Order Date]]&lt;Q52,"Yes","No")</f>
        <v>Yes</v>
      </c>
    </row>
    <row r="53" spans="1:19" ht="14.25" customHeight="1" x14ac:dyDescent="0.3">
      <c r="A53" s="2" t="s">
        <v>153</v>
      </c>
      <c r="B53" s="13">
        <v>45832</v>
      </c>
      <c r="C53" s="2" t="s">
        <v>274</v>
      </c>
      <c r="D53" s="3" t="s">
        <v>58</v>
      </c>
      <c r="E53" s="3" t="s">
        <v>183</v>
      </c>
      <c r="F53" s="2" t="s">
        <v>44</v>
      </c>
      <c r="G53" s="2" t="s">
        <v>13</v>
      </c>
      <c r="H53" s="7" t="s">
        <v>479</v>
      </c>
      <c r="I53" s="7" t="str" cm="1">
        <f t="array" ref="I53">_xlfn.SWITCH(H53,"ELEC","Electronics","BEAU","Beauty","HOME","Home &amp; Kitchen","FASH","Fashion")</f>
        <v>Beauty</v>
      </c>
      <c r="J53" s="7" t="str">
        <f t="shared" si="0"/>
        <v>Mismatch</v>
      </c>
      <c r="K53" s="2">
        <v>5</v>
      </c>
      <c r="L53" s="8">
        <v>282.33999999999997</v>
      </c>
      <c r="M53" s="9">
        <v>0.2</v>
      </c>
      <c r="N53" s="8">
        <v>1129.3599999999999</v>
      </c>
      <c r="O53" s="2" t="s">
        <v>40</v>
      </c>
      <c r="P53" s="7" t="s">
        <v>67</v>
      </c>
      <c r="Q53" s="2" t="s">
        <v>154</v>
      </c>
      <c r="R53" s="2">
        <v>2</v>
      </c>
      <c r="S53" t="str">
        <f>IF(Table1[[#This Row],[Order Date]]&lt;Q53,"Yes","No")</f>
        <v>Yes</v>
      </c>
    </row>
    <row r="54" spans="1:19" ht="14.25" customHeight="1" x14ac:dyDescent="0.3">
      <c r="A54" s="2" t="s">
        <v>155</v>
      </c>
      <c r="B54" s="13">
        <v>45988</v>
      </c>
      <c r="C54" s="2" t="s">
        <v>156</v>
      </c>
      <c r="D54" s="3" t="s">
        <v>34</v>
      </c>
      <c r="E54" s="3" t="s">
        <v>35</v>
      </c>
      <c r="F54" s="2" t="s">
        <v>44</v>
      </c>
      <c r="G54" s="2" t="s">
        <v>49</v>
      </c>
      <c r="H54" s="7" t="s">
        <v>481</v>
      </c>
      <c r="I54" s="7" t="str" cm="1">
        <f t="array" ref="I54">_xlfn.SWITCH(H54,"ELEC","Electronics","BEAU","Beauty","HOME","Home &amp; Kitchen","FASH","Fashion")</f>
        <v>Fashion</v>
      </c>
      <c r="J54" s="7" t="str">
        <f t="shared" si="0"/>
        <v>Match</v>
      </c>
      <c r="K54" s="2">
        <v>0</v>
      </c>
      <c r="L54" s="8">
        <v>398.54</v>
      </c>
      <c r="M54" s="9">
        <v>0</v>
      </c>
      <c r="N54" s="8">
        <v>0</v>
      </c>
      <c r="O54" s="2" t="s">
        <v>8</v>
      </c>
      <c r="P54" s="7" t="s">
        <v>31</v>
      </c>
      <c r="Q54" s="2" t="s">
        <v>84</v>
      </c>
      <c r="R54" s="2">
        <v>3</v>
      </c>
      <c r="S54" t="str">
        <f>IF(Table1[[#This Row],[Order Date]]&lt;Q54,"Yes","No")</f>
        <v>Yes</v>
      </c>
    </row>
    <row r="55" spans="1:19" ht="14.25" customHeight="1" x14ac:dyDescent="0.3">
      <c r="A55" s="2" t="s">
        <v>157</v>
      </c>
      <c r="B55" s="13">
        <v>45929</v>
      </c>
      <c r="C55" s="2" t="s">
        <v>158</v>
      </c>
      <c r="D55" s="3" t="s">
        <v>58</v>
      </c>
      <c r="E55" s="3" t="s">
        <v>28</v>
      </c>
      <c r="F55" s="2" t="s">
        <v>6</v>
      </c>
      <c r="G55" s="2" t="s">
        <v>49</v>
      </c>
      <c r="H55" s="7" t="s">
        <v>481</v>
      </c>
      <c r="I55" s="7" t="str" cm="1">
        <f t="array" ref="I55">_xlfn.SWITCH(H55,"ELEC","Electronics","BEAU","Beauty","HOME","Home &amp; Kitchen","FASH","Fashion")</f>
        <v>Fashion</v>
      </c>
      <c r="J55" s="7" t="str">
        <f t="shared" si="0"/>
        <v>Mismatch</v>
      </c>
      <c r="K55" s="2">
        <v>9</v>
      </c>
      <c r="L55" s="8">
        <v>172.09</v>
      </c>
      <c r="M55" s="9">
        <v>0.15</v>
      </c>
      <c r="N55" s="8">
        <v>1316.49</v>
      </c>
      <c r="O55" s="2" t="s">
        <v>8</v>
      </c>
      <c r="P55" s="7" t="s">
        <v>14</v>
      </c>
      <c r="Q55" s="2" t="s">
        <v>159</v>
      </c>
      <c r="R55" s="2">
        <v>3</v>
      </c>
      <c r="S55" t="str">
        <f>IF(Table1[[#This Row],[Order Date]]&lt;Q55,"Yes","No")</f>
        <v>Yes</v>
      </c>
    </row>
    <row r="56" spans="1:19" ht="14.25" customHeight="1" x14ac:dyDescent="0.3">
      <c r="A56" s="2" t="s">
        <v>160</v>
      </c>
      <c r="B56" s="13">
        <v>46011</v>
      </c>
      <c r="C56" s="2" t="s">
        <v>161</v>
      </c>
      <c r="D56" s="3" t="s">
        <v>58</v>
      </c>
      <c r="E56" s="3" t="s">
        <v>5</v>
      </c>
      <c r="F56" s="2" t="s">
        <v>12</v>
      </c>
      <c r="G56" s="2" t="s">
        <v>7</v>
      </c>
      <c r="H56" s="7" t="s">
        <v>478</v>
      </c>
      <c r="I56" s="7" t="str" cm="1">
        <f t="array" ref="I56">_xlfn.SWITCH(H56,"ELEC","Electronics","BEAU","Beauty","HOME","Home &amp; Kitchen","FASH","Fashion")</f>
        <v>Electronics</v>
      </c>
      <c r="J56" s="7" t="str">
        <f t="shared" si="0"/>
        <v>Mismatch</v>
      </c>
      <c r="K56" s="2">
        <v>-2</v>
      </c>
      <c r="L56" s="8">
        <v>371.92</v>
      </c>
      <c r="M56" s="9">
        <v>0.1</v>
      </c>
      <c r="N56" s="8">
        <v>-669.46</v>
      </c>
      <c r="O56" s="2" t="s">
        <v>8</v>
      </c>
      <c r="P56" s="7" t="s">
        <v>31</v>
      </c>
      <c r="R56" s="2">
        <v>5</v>
      </c>
      <c r="S56" t="str">
        <f>IF(Table1[[#This Row],[Order Date]]&lt;Q56,"Yes","No")</f>
        <v>No</v>
      </c>
    </row>
    <row r="57" spans="1:19" ht="14.25" customHeight="1" x14ac:dyDescent="0.3">
      <c r="A57" s="2" t="s">
        <v>162</v>
      </c>
      <c r="B57" s="13">
        <v>45870</v>
      </c>
      <c r="C57" s="2" t="s">
        <v>163</v>
      </c>
      <c r="D57" s="3" t="s">
        <v>23</v>
      </c>
      <c r="E57" s="3" t="s">
        <v>24</v>
      </c>
      <c r="F57" s="2" t="s">
        <v>6</v>
      </c>
      <c r="G57" s="2" t="s">
        <v>13</v>
      </c>
      <c r="H57" s="7" t="s">
        <v>479</v>
      </c>
      <c r="I57" s="7" t="str" cm="1">
        <f t="array" ref="I57">_xlfn.SWITCH(H57,"ELEC","Electronics","BEAU","Beauty","HOME","Home &amp; Kitchen","FASH","Fashion")</f>
        <v>Beauty</v>
      </c>
      <c r="J57" s="7" t="str">
        <f t="shared" si="0"/>
        <v>Mismatch</v>
      </c>
      <c r="K57" s="2">
        <v>3</v>
      </c>
      <c r="L57" s="8">
        <v>144.41</v>
      </c>
      <c r="M57" s="9">
        <v>0</v>
      </c>
      <c r="N57" s="8">
        <v>433.23</v>
      </c>
      <c r="O57" s="2" t="s">
        <v>30</v>
      </c>
      <c r="P57" s="7" t="s">
        <v>67</v>
      </c>
      <c r="Q57" s="2" t="s">
        <v>164</v>
      </c>
      <c r="R57" s="2">
        <v>5</v>
      </c>
      <c r="S57" t="str">
        <f>IF(Table1[[#This Row],[Order Date]]&lt;Q57,"Yes","No")</f>
        <v>Yes</v>
      </c>
    </row>
    <row r="58" spans="1:19" ht="14.25" customHeight="1" x14ac:dyDescent="0.3">
      <c r="A58" s="2" t="s">
        <v>165</v>
      </c>
      <c r="B58" s="13">
        <v>45803</v>
      </c>
      <c r="C58" s="2" t="s">
        <v>465</v>
      </c>
      <c r="D58" s="3" t="s">
        <v>39</v>
      </c>
      <c r="E58" s="3" t="s">
        <v>11</v>
      </c>
      <c r="F58" s="2" t="s">
        <v>12</v>
      </c>
      <c r="G58" s="2" t="s">
        <v>49</v>
      </c>
      <c r="H58" s="7" t="s">
        <v>481</v>
      </c>
      <c r="I58" s="7" t="str" cm="1">
        <f t="array" ref="I58">_xlfn.SWITCH(H58,"ELEC","Electronics","BEAU","Beauty","HOME","Home &amp; Kitchen","FASH","Fashion")</f>
        <v>Fashion</v>
      </c>
      <c r="J58" s="7" t="str">
        <f t="shared" si="0"/>
        <v>Mismatch</v>
      </c>
      <c r="K58" s="2">
        <v>8</v>
      </c>
      <c r="L58" s="8">
        <v>176.95</v>
      </c>
      <c r="M58" s="9">
        <v>0</v>
      </c>
      <c r="N58" s="8">
        <v>1415.6</v>
      </c>
      <c r="O58" s="2" t="s">
        <v>8</v>
      </c>
      <c r="P58" s="7" t="s">
        <v>67</v>
      </c>
      <c r="Q58" s="2" t="s">
        <v>166</v>
      </c>
      <c r="R58" s="2">
        <v>3</v>
      </c>
      <c r="S58" t="str">
        <f>IF(Table1[[#This Row],[Order Date]]&lt;Q58,"Yes","No")</f>
        <v>Yes</v>
      </c>
    </row>
    <row r="59" spans="1:19" ht="14.25" customHeight="1" x14ac:dyDescent="0.3">
      <c r="A59" s="2" t="s">
        <v>167</v>
      </c>
      <c r="B59" s="13">
        <v>46009</v>
      </c>
      <c r="C59" s="2" t="s">
        <v>168</v>
      </c>
      <c r="D59" s="3" t="s">
        <v>34</v>
      </c>
      <c r="E59" s="3" t="s">
        <v>35</v>
      </c>
      <c r="F59" s="2" t="s">
        <v>44</v>
      </c>
      <c r="G59" s="2" t="s">
        <v>7</v>
      </c>
      <c r="H59" s="7" t="s">
        <v>478</v>
      </c>
      <c r="I59" s="7" t="str" cm="1">
        <f t="array" ref="I59">_xlfn.SWITCH(H59,"ELEC","Electronics","BEAU","Beauty","HOME","Home &amp; Kitchen","FASH","Fashion")</f>
        <v>Electronics</v>
      </c>
      <c r="J59" s="7" t="str">
        <f t="shared" si="0"/>
        <v>Mismatch</v>
      </c>
      <c r="K59" s="2">
        <v>3</v>
      </c>
      <c r="L59" s="8">
        <v>407.46</v>
      </c>
      <c r="M59" s="9">
        <v>0.1</v>
      </c>
      <c r="N59" s="8">
        <v>1100.1400000000001</v>
      </c>
      <c r="O59" s="2" t="s">
        <v>40</v>
      </c>
      <c r="P59" s="7" t="s">
        <v>53</v>
      </c>
      <c r="Q59" s="2" t="s">
        <v>169</v>
      </c>
      <c r="R59" s="2">
        <v>1</v>
      </c>
      <c r="S59" t="str">
        <f>IF(Table1[[#This Row],[Order Date]]&lt;Q59,"Yes","No")</f>
        <v>Yes</v>
      </c>
    </row>
    <row r="60" spans="1:19" ht="14.25" customHeight="1" x14ac:dyDescent="0.3">
      <c r="A60" s="2" t="s">
        <v>170</v>
      </c>
      <c r="B60" s="13">
        <v>45925</v>
      </c>
      <c r="C60" s="2" t="s">
        <v>467</v>
      </c>
      <c r="D60" s="3" t="s">
        <v>17</v>
      </c>
      <c r="E60" s="3" t="s">
        <v>18</v>
      </c>
      <c r="F60" s="2" t="s">
        <v>44</v>
      </c>
      <c r="G60" s="2" t="s">
        <v>49</v>
      </c>
      <c r="H60" s="7" t="s">
        <v>481</v>
      </c>
      <c r="I60" s="7" t="str" cm="1">
        <f t="array" ref="I60">_xlfn.SWITCH(H60,"ELEC","Electronics","BEAU","Beauty","HOME","Home &amp; Kitchen","FASH","Fashion")</f>
        <v>Fashion</v>
      </c>
      <c r="J60" s="7" t="str">
        <f t="shared" si="0"/>
        <v>Match</v>
      </c>
      <c r="K60" s="2">
        <v>8</v>
      </c>
      <c r="L60" s="8">
        <v>155.69999999999999</v>
      </c>
      <c r="M60" s="9">
        <v>0.2</v>
      </c>
      <c r="N60" s="8">
        <v>996.48</v>
      </c>
      <c r="O60" s="2" t="s">
        <v>8</v>
      </c>
      <c r="P60" s="7" t="s">
        <v>53</v>
      </c>
      <c r="Q60" s="2" t="s">
        <v>171</v>
      </c>
      <c r="R60" s="2">
        <v>4</v>
      </c>
      <c r="S60" t="str">
        <f>IF(Table1[[#This Row],[Order Date]]&lt;Q60,"Yes","No")</f>
        <v>Yes</v>
      </c>
    </row>
    <row r="61" spans="1:19" ht="14.25" customHeight="1" x14ac:dyDescent="0.3">
      <c r="A61" s="2" t="s">
        <v>172</v>
      </c>
      <c r="B61" s="13">
        <v>45766</v>
      </c>
      <c r="C61" s="2" t="s">
        <v>156</v>
      </c>
      <c r="D61" s="3" t="s">
        <v>58</v>
      </c>
      <c r="E61" s="3" t="s">
        <v>5</v>
      </c>
      <c r="F61" s="2" t="s">
        <v>71</v>
      </c>
      <c r="G61" s="2" t="s">
        <v>29</v>
      </c>
      <c r="H61" s="7" t="s">
        <v>478</v>
      </c>
      <c r="I61" s="7" t="str" cm="1">
        <f t="array" ref="I61">_xlfn.SWITCH(H61,"ELEC","Electronics","BEAU","Beauty","HOME","Home &amp; Kitchen","FASH","Fashion")</f>
        <v>Electronics</v>
      </c>
      <c r="J61" s="7" t="str">
        <f t="shared" si="0"/>
        <v>Mismatch</v>
      </c>
      <c r="K61" s="2">
        <v>3</v>
      </c>
      <c r="L61" s="8">
        <v>127.53</v>
      </c>
      <c r="M61" s="9">
        <v>0.2</v>
      </c>
      <c r="N61" s="8">
        <v>306.07</v>
      </c>
      <c r="O61" s="2" t="s">
        <v>40</v>
      </c>
      <c r="P61" s="7" t="s">
        <v>14</v>
      </c>
      <c r="Q61" s="2" t="s">
        <v>173</v>
      </c>
      <c r="R61" s="2">
        <v>1</v>
      </c>
      <c r="S61" t="str">
        <f>IF(Table1[[#This Row],[Order Date]]&lt;Q61,"Yes","No")</f>
        <v>Yes</v>
      </c>
    </row>
    <row r="62" spans="1:19" ht="14.25" customHeight="1" x14ac:dyDescent="0.3">
      <c r="A62" s="2" t="s">
        <v>174</v>
      </c>
      <c r="B62" s="13">
        <v>45776</v>
      </c>
      <c r="C62" s="2" t="s">
        <v>125</v>
      </c>
      <c r="D62" s="3" t="s">
        <v>34</v>
      </c>
      <c r="E62" s="3" t="s">
        <v>35</v>
      </c>
      <c r="F62" s="2" t="s">
        <v>6</v>
      </c>
      <c r="G62" s="2" t="s">
        <v>19</v>
      </c>
      <c r="H62" s="7" t="s">
        <v>480</v>
      </c>
      <c r="I62" s="7" t="str" cm="1">
        <f t="array" ref="I62">_xlfn.SWITCH(H62,"ELEC","Electronics","BEAU","Beauty","HOME","Home &amp; Kitchen","FASH","Fashion")</f>
        <v>Home &amp; Kitchen</v>
      </c>
      <c r="J62" s="7" t="str">
        <f t="shared" si="0"/>
        <v>Mismatch</v>
      </c>
      <c r="K62" s="2">
        <v>8</v>
      </c>
      <c r="L62" s="8">
        <v>44.88</v>
      </c>
      <c r="M62" s="9">
        <v>0.05</v>
      </c>
      <c r="N62" s="8">
        <v>341.09</v>
      </c>
      <c r="O62" s="2" t="s">
        <v>50</v>
      </c>
      <c r="P62" s="7" t="s">
        <v>45</v>
      </c>
      <c r="Q62" s="2" t="s">
        <v>20</v>
      </c>
      <c r="S62" t="str">
        <f>IF(Table1[[#This Row],[Order Date]]&lt;Q62,"Yes","No")</f>
        <v>Yes</v>
      </c>
    </row>
    <row r="63" spans="1:19" ht="14.25" customHeight="1" x14ac:dyDescent="0.3">
      <c r="A63" s="2" t="s">
        <v>175</v>
      </c>
      <c r="B63" s="13">
        <v>45810</v>
      </c>
      <c r="C63" s="2" t="s">
        <v>176</v>
      </c>
      <c r="D63" s="3" t="s">
        <v>39</v>
      </c>
      <c r="E63" s="3" t="s">
        <v>11</v>
      </c>
      <c r="F63" s="2" t="s">
        <v>71</v>
      </c>
      <c r="G63" s="2" t="s">
        <v>7</v>
      </c>
      <c r="H63" s="7" t="s">
        <v>478</v>
      </c>
      <c r="I63" s="7" t="str" cm="1">
        <f t="array" ref="I63">_xlfn.SWITCH(H63,"ELEC","Electronics","BEAU","Beauty","HOME","Home &amp; Kitchen","FASH","Fashion")</f>
        <v>Electronics</v>
      </c>
      <c r="J63" s="7" t="str">
        <f t="shared" si="0"/>
        <v>Mismatch</v>
      </c>
      <c r="K63" s="2">
        <v>5</v>
      </c>
      <c r="L63" s="8">
        <v>301.57</v>
      </c>
      <c r="M63" s="9">
        <v>0.2</v>
      </c>
      <c r="N63" s="8">
        <v>1206.28</v>
      </c>
      <c r="O63" s="2" t="s">
        <v>30</v>
      </c>
      <c r="P63" s="7" t="s">
        <v>31</v>
      </c>
      <c r="Q63" s="2" t="s">
        <v>177</v>
      </c>
      <c r="R63" s="2">
        <v>3</v>
      </c>
      <c r="S63" t="str">
        <f>IF(Table1[[#This Row],[Order Date]]&lt;Q63,"Yes","No")</f>
        <v>Yes</v>
      </c>
    </row>
    <row r="64" spans="1:19" ht="14.25" customHeight="1" x14ac:dyDescent="0.3">
      <c r="A64" s="2" t="s">
        <v>178</v>
      </c>
      <c r="B64" s="13">
        <v>45939</v>
      </c>
      <c r="C64" s="2" t="s">
        <v>179</v>
      </c>
      <c r="D64" s="3" t="s">
        <v>17</v>
      </c>
      <c r="E64" s="3" t="s">
        <v>18</v>
      </c>
      <c r="F64" s="2" t="s">
        <v>6</v>
      </c>
      <c r="G64" s="2" t="s">
        <v>29</v>
      </c>
      <c r="H64" s="7" t="s">
        <v>478</v>
      </c>
      <c r="I64" s="7" t="str" cm="1">
        <f t="array" ref="I64">_xlfn.SWITCH(H64,"ELEC","Electronics","BEAU","Beauty","HOME","Home &amp; Kitchen","FASH","Fashion")</f>
        <v>Electronics</v>
      </c>
      <c r="J64" s="7" t="str">
        <f t="shared" si="0"/>
        <v>Match</v>
      </c>
      <c r="K64" s="2">
        <v>10</v>
      </c>
      <c r="L64" s="8">
        <v>29.53</v>
      </c>
      <c r="M64" s="9">
        <v>0.15</v>
      </c>
      <c r="N64" s="8">
        <v>251</v>
      </c>
      <c r="O64" s="2" t="s">
        <v>8</v>
      </c>
      <c r="P64" s="7" t="s">
        <v>14</v>
      </c>
      <c r="Q64" s="2" t="s">
        <v>180</v>
      </c>
      <c r="R64" s="2">
        <v>3</v>
      </c>
      <c r="S64" t="str">
        <f>IF(Table1[[#This Row],[Order Date]]&lt;Q64,"Yes","No")</f>
        <v>Yes</v>
      </c>
    </row>
    <row r="65" spans="1:19" ht="14.25" customHeight="1" x14ac:dyDescent="0.3">
      <c r="A65" s="2" t="s">
        <v>181</v>
      </c>
      <c r="B65" s="13">
        <v>45953</v>
      </c>
      <c r="C65" s="2" t="s">
        <v>182</v>
      </c>
      <c r="D65" s="3" t="s">
        <v>58</v>
      </c>
      <c r="E65" s="3" t="s">
        <v>183</v>
      </c>
      <c r="F65" s="2" t="s">
        <v>71</v>
      </c>
      <c r="G65" s="2" t="s">
        <v>7</v>
      </c>
      <c r="H65" s="7" t="s">
        <v>478</v>
      </c>
      <c r="I65" s="7" t="str" cm="1">
        <f t="array" ref="I65">_xlfn.SWITCH(H65,"ELEC","Electronics","BEAU","Beauty","HOME","Home &amp; Kitchen","FASH","Fashion")</f>
        <v>Electronics</v>
      </c>
      <c r="J65" s="7" t="str">
        <f t="shared" si="0"/>
        <v>Mismatch</v>
      </c>
      <c r="K65" s="2">
        <v>8</v>
      </c>
      <c r="L65" s="8">
        <v>264.29000000000002</v>
      </c>
      <c r="M65" s="9">
        <v>0.15</v>
      </c>
      <c r="N65" s="8">
        <v>1797.17</v>
      </c>
      <c r="O65" s="2" t="s">
        <v>30</v>
      </c>
      <c r="P65" s="7" t="s">
        <v>67</v>
      </c>
      <c r="Q65" s="2" t="s">
        <v>184</v>
      </c>
      <c r="R65" s="2">
        <v>3</v>
      </c>
      <c r="S65" t="str">
        <f>IF(Table1[[#This Row],[Order Date]]&lt;Q65,"Yes","No")</f>
        <v>Yes</v>
      </c>
    </row>
    <row r="66" spans="1:19" ht="14.25" customHeight="1" x14ac:dyDescent="0.3">
      <c r="A66" s="2" t="s">
        <v>185</v>
      </c>
      <c r="B66" s="13">
        <v>45828</v>
      </c>
      <c r="C66" s="2" t="s">
        <v>186</v>
      </c>
      <c r="D66" s="3" t="s">
        <v>39</v>
      </c>
      <c r="E66" s="3" t="s">
        <v>11</v>
      </c>
      <c r="F66" s="2" t="s">
        <v>12</v>
      </c>
      <c r="G66" s="2" t="s">
        <v>29</v>
      </c>
      <c r="H66" s="7" t="s">
        <v>478</v>
      </c>
      <c r="I66" s="7" t="str" cm="1">
        <f t="array" ref="I66">_xlfn.SWITCH(H66,"ELEC","Electronics","BEAU","Beauty","HOME","Home &amp; Kitchen","FASH","Fashion")</f>
        <v>Electronics</v>
      </c>
      <c r="J66" s="7" t="str">
        <f t="shared" si="0"/>
        <v>Mismatch</v>
      </c>
      <c r="K66" s="2">
        <v>3</v>
      </c>
      <c r="L66" s="8">
        <v>171.6</v>
      </c>
      <c r="M66" s="9">
        <v>0.15</v>
      </c>
      <c r="N66" s="8">
        <v>437.58</v>
      </c>
      <c r="O66" s="2" t="s">
        <v>50</v>
      </c>
      <c r="P66" s="7" t="s">
        <v>45</v>
      </c>
      <c r="Q66" s="2" t="s">
        <v>187</v>
      </c>
      <c r="R66" s="2">
        <v>3</v>
      </c>
      <c r="S66" t="str">
        <f>IF(Table1[[#This Row],[Order Date]]&lt;Q66,"Yes","No")</f>
        <v>Yes</v>
      </c>
    </row>
    <row r="67" spans="1:19" ht="14.25" customHeight="1" x14ac:dyDescent="0.3">
      <c r="A67" s="2" t="s">
        <v>188</v>
      </c>
      <c r="B67" s="13">
        <v>45823</v>
      </c>
      <c r="C67" s="2" t="s">
        <v>189</v>
      </c>
      <c r="D67" s="3" t="s">
        <v>34</v>
      </c>
      <c r="E67" s="3" t="s">
        <v>35</v>
      </c>
      <c r="F67" s="2" t="s">
        <v>6</v>
      </c>
      <c r="G67" s="2" t="s">
        <v>49</v>
      </c>
      <c r="H67" s="7" t="s">
        <v>481</v>
      </c>
      <c r="I67" s="7" t="str" cm="1">
        <f t="array" ref="I67">_xlfn.SWITCH(H67,"ELEC","Electronics","BEAU","Beauty","HOME","Home &amp; Kitchen","FASH","Fashion")</f>
        <v>Fashion</v>
      </c>
      <c r="J67" s="7" t="str">
        <f t="shared" ref="J67:J130" si="1">IF(I67=F67,"Match","Mismatch")</f>
        <v>Mismatch</v>
      </c>
      <c r="K67" s="2">
        <v>9</v>
      </c>
      <c r="L67" s="8">
        <v>414.21</v>
      </c>
      <c r="M67" s="9">
        <v>0</v>
      </c>
      <c r="N67" s="8">
        <v>3727.89</v>
      </c>
      <c r="O67" s="2" t="s">
        <v>8</v>
      </c>
      <c r="P67" s="7" t="s">
        <v>53</v>
      </c>
      <c r="Q67" s="2" t="s">
        <v>190</v>
      </c>
      <c r="R67" s="2">
        <v>5</v>
      </c>
      <c r="S67" t="str">
        <f>IF(Table1[[#This Row],[Order Date]]&lt;Q67,"Yes","No")</f>
        <v>Yes</v>
      </c>
    </row>
    <row r="68" spans="1:19" ht="14.25" customHeight="1" x14ac:dyDescent="0.3">
      <c r="A68" s="2" t="s">
        <v>191</v>
      </c>
      <c r="B68" s="14">
        <v>45658</v>
      </c>
      <c r="C68" s="2" t="s">
        <v>192</v>
      </c>
      <c r="D68" s="3" t="s">
        <v>17</v>
      </c>
      <c r="E68" s="3" t="s">
        <v>18</v>
      </c>
      <c r="F68" s="2" t="s">
        <v>71</v>
      </c>
      <c r="G68" s="2" t="s">
        <v>29</v>
      </c>
      <c r="H68" s="7" t="s">
        <v>478</v>
      </c>
      <c r="I68" s="7" t="str" cm="1">
        <f t="array" ref="I68">_xlfn.SWITCH(H68,"ELEC","Electronics","BEAU","Beauty","HOME","Home &amp; Kitchen","FASH","Fashion")</f>
        <v>Electronics</v>
      </c>
      <c r="J68" s="7" t="str">
        <f t="shared" si="1"/>
        <v>Mismatch</v>
      </c>
      <c r="K68" s="2">
        <v>4</v>
      </c>
      <c r="L68" s="8">
        <v>140.86000000000001</v>
      </c>
      <c r="M68" s="9">
        <v>1.5</v>
      </c>
      <c r="N68" s="8">
        <v>-281.72000000000003</v>
      </c>
      <c r="O68" s="2" t="s">
        <v>8</v>
      </c>
      <c r="P68" s="7" t="s">
        <v>45</v>
      </c>
      <c r="Q68" s="2" t="s">
        <v>193</v>
      </c>
      <c r="R68" s="2">
        <v>3</v>
      </c>
      <c r="S68" t="str">
        <f>IF(Table1[[#This Row],[Order Date]]&lt;Q68,"Yes","No")</f>
        <v>Yes</v>
      </c>
    </row>
    <row r="69" spans="1:19" ht="14.25" customHeight="1" x14ac:dyDescent="0.3">
      <c r="A69" s="2" t="s">
        <v>194</v>
      </c>
      <c r="B69" s="13">
        <v>45906</v>
      </c>
      <c r="C69" s="2" t="s">
        <v>156</v>
      </c>
      <c r="D69" s="3" t="s">
        <v>58</v>
      </c>
      <c r="E69" s="3" t="s">
        <v>5</v>
      </c>
      <c r="F69" s="2" t="s">
        <v>44</v>
      </c>
      <c r="G69" s="2" t="s">
        <v>29</v>
      </c>
      <c r="H69" s="7" t="s">
        <v>478</v>
      </c>
      <c r="I69" s="7" t="str" cm="1">
        <f t="array" ref="I69">_xlfn.SWITCH(H69,"ELEC","Electronics","BEAU","Beauty","HOME","Home &amp; Kitchen","FASH","Fashion")</f>
        <v>Electronics</v>
      </c>
      <c r="J69" s="7" t="str">
        <f t="shared" si="1"/>
        <v>Mismatch</v>
      </c>
      <c r="K69" s="2">
        <v>9</v>
      </c>
      <c r="L69" s="8">
        <v>209.92</v>
      </c>
      <c r="M69" s="9">
        <v>0.05</v>
      </c>
      <c r="N69" s="8">
        <v>1794.82</v>
      </c>
      <c r="O69" s="2" t="s">
        <v>8</v>
      </c>
      <c r="P69" s="7" t="s">
        <v>67</v>
      </c>
      <c r="Q69" s="2" t="s">
        <v>195</v>
      </c>
      <c r="R69" s="2">
        <v>1</v>
      </c>
      <c r="S69" t="str">
        <f>IF(Table1[[#This Row],[Order Date]]&lt;Q69,"Yes","No")</f>
        <v>Yes</v>
      </c>
    </row>
    <row r="70" spans="1:19" ht="14.25" customHeight="1" x14ac:dyDescent="0.3">
      <c r="A70" s="2" t="s">
        <v>196</v>
      </c>
      <c r="B70" s="13">
        <v>45665</v>
      </c>
      <c r="C70" s="2" t="s">
        <v>134</v>
      </c>
      <c r="D70" s="3" t="s">
        <v>58</v>
      </c>
      <c r="E70" s="3" t="s">
        <v>183</v>
      </c>
      <c r="F70" s="2" t="s">
        <v>44</v>
      </c>
      <c r="G70" s="2" t="s">
        <v>49</v>
      </c>
      <c r="H70" s="7" t="s">
        <v>481</v>
      </c>
      <c r="I70" s="7" t="str" cm="1">
        <f t="array" ref="I70">_xlfn.SWITCH(H70,"ELEC","Electronics","BEAU","Beauty","HOME","Home &amp; Kitchen","FASH","Fashion")</f>
        <v>Fashion</v>
      </c>
      <c r="J70" s="7" t="str">
        <f t="shared" si="1"/>
        <v>Match</v>
      </c>
      <c r="K70" s="2">
        <v>8</v>
      </c>
      <c r="L70" s="8">
        <v>129.43</v>
      </c>
      <c r="M70" s="9">
        <v>0.2</v>
      </c>
      <c r="N70" s="8">
        <v>828.35</v>
      </c>
      <c r="O70" s="2" t="s">
        <v>50</v>
      </c>
      <c r="P70" s="7" t="s">
        <v>14</v>
      </c>
      <c r="Q70" s="2" t="s">
        <v>197</v>
      </c>
      <c r="R70" s="2">
        <v>2</v>
      </c>
      <c r="S70" t="str">
        <f>IF(Table1[[#This Row],[Order Date]]&lt;Q70,"Yes","No")</f>
        <v>Yes</v>
      </c>
    </row>
    <row r="71" spans="1:19" ht="14.25" customHeight="1" x14ac:dyDescent="0.3">
      <c r="A71" s="2" t="s">
        <v>198</v>
      </c>
      <c r="B71" s="13">
        <v>45665</v>
      </c>
      <c r="C71" s="2" t="s">
        <v>48</v>
      </c>
      <c r="D71" s="3" t="s">
        <v>39</v>
      </c>
      <c r="E71" s="3" t="s">
        <v>11</v>
      </c>
      <c r="F71" s="2" t="s">
        <v>6</v>
      </c>
      <c r="G71" s="2" t="s">
        <v>13</v>
      </c>
      <c r="H71" s="7" t="s">
        <v>479</v>
      </c>
      <c r="I71" s="7" t="str" cm="1">
        <f t="array" ref="I71">_xlfn.SWITCH(H71,"ELEC","Electronics","BEAU","Beauty","HOME","Home &amp; Kitchen","FASH","Fashion")</f>
        <v>Beauty</v>
      </c>
      <c r="J71" s="7" t="str">
        <f t="shared" si="1"/>
        <v>Mismatch</v>
      </c>
      <c r="K71" s="2">
        <v>5</v>
      </c>
      <c r="L71" s="8">
        <v>412.07</v>
      </c>
      <c r="M71" s="9">
        <v>0.1</v>
      </c>
      <c r="N71" s="8">
        <v>1854.32</v>
      </c>
      <c r="O71" s="2" t="s">
        <v>40</v>
      </c>
      <c r="P71" s="7" t="s">
        <v>53</v>
      </c>
      <c r="Q71" s="2" t="s">
        <v>199</v>
      </c>
      <c r="R71" s="2">
        <v>3</v>
      </c>
      <c r="S71" t="str">
        <f>IF(Table1[[#This Row],[Order Date]]&lt;Q71,"Yes","No")</f>
        <v>Yes</v>
      </c>
    </row>
    <row r="72" spans="1:19" ht="14.25" customHeight="1" x14ac:dyDescent="0.3">
      <c r="A72" s="2" t="s">
        <v>200</v>
      </c>
      <c r="B72" s="13">
        <v>45936</v>
      </c>
      <c r="C72" s="2" t="s">
        <v>201</v>
      </c>
      <c r="D72" s="3" t="s">
        <v>39</v>
      </c>
      <c r="E72" s="3" t="s">
        <v>11</v>
      </c>
      <c r="F72" s="2" t="s">
        <v>12</v>
      </c>
      <c r="G72" s="2" t="s">
        <v>49</v>
      </c>
      <c r="H72" s="7" t="s">
        <v>481</v>
      </c>
      <c r="I72" s="7" t="str" cm="1">
        <f t="array" ref="I72">_xlfn.SWITCH(H72,"ELEC","Electronics","BEAU","Beauty","HOME","Home &amp; Kitchen","FASH","Fashion")</f>
        <v>Fashion</v>
      </c>
      <c r="J72" s="7" t="str">
        <f t="shared" si="1"/>
        <v>Mismatch</v>
      </c>
      <c r="K72" s="2">
        <v>6</v>
      </c>
      <c r="L72" s="8">
        <v>436.1</v>
      </c>
      <c r="M72" s="9">
        <v>0.05</v>
      </c>
      <c r="N72" s="8">
        <v>2485.77</v>
      </c>
      <c r="O72" s="2" t="s">
        <v>40</v>
      </c>
      <c r="P72" s="7" t="s">
        <v>45</v>
      </c>
      <c r="Q72" s="2" t="s">
        <v>36</v>
      </c>
      <c r="R72" s="2">
        <v>5</v>
      </c>
      <c r="S72" t="str">
        <f>IF(Table1[[#This Row],[Order Date]]&lt;Q72,"Yes","No")</f>
        <v>Yes</v>
      </c>
    </row>
    <row r="73" spans="1:19" ht="14.25" customHeight="1" x14ac:dyDescent="0.3">
      <c r="A73" s="2" t="s">
        <v>202</v>
      </c>
      <c r="B73" s="13">
        <v>45855</v>
      </c>
      <c r="C73" s="2" t="s">
        <v>203</v>
      </c>
      <c r="D73" s="3" t="s">
        <v>23</v>
      </c>
      <c r="E73" s="3" t="s">
        <v>24</v>
      </c>
      <c r="F73" s="2" t="s">
        <v>6</v>
      </c>
      <c r="G73" s="2" t="s">
        <v>7</v>
      </c>
      <c r="H73" s="7" t="s">
        <v>478</v>
      </c>
      <c r="I73" s="7" t="str" cm="1">
        <f t="array" ref="I73">_xlfn.SWITCH(H73,"ELEC","Electronics","BEAU","Beauty","HOME","Home &amp; Kitchen","FASH","Fashion")</f>
        <v>Electronics</v>
      </c>
      <c r="J73" s="7" t="str">
        <f t="shared" si="1"/>
        <v>Match</v>
      </c>
      <c r="K73" s="2">
        <v>8</v>
      </c>
      <c r="L73" s="8">
        <v>482.76</v>
      </c>
      <c r="M73" s="9">
        <v>0.05</v>
      </c>
      <c r="N73" s="8">
        <v>3668.98</v>
      </c>
      <c r="O73" s="2" t="s">
        <v>40</v>
      </c>
      <c r="P73" s="7" t="s">
        <v>45</v>
      </c>
      <c r="Q73" s="2" t="s">
        <v>82</v>
      </c>
      <c r="R73" s="2">
        <v>5</v>
      </c>
      <c r="S73" t="str">
        <f>IF(Table1[[#This Row],[Order Date]]&lt;Q73,"Yes","No")</f>
        <v>Yes</v>
      </c>
    </row>
    <row r="74" spans="1:19" ht="14.25" customHeight="1" x14ac:dyDescent="0.3">
      <c r="A74" s="2" t="s">
        <v>204</v>
      </c>
      <c r="B74" s="13">
        <v>45731</v>
      </c>
      <c r="C74" s="2" t="s">
        <v>205</v>
      </c>
      <c r="D74" s="3" t="s">
        <v>39</v>
      </c>
      <c r="E74" s="3" t="s">
        <v>11</v>
      </c>
      <c r="F74" s="2" t="s">
        <v>6</v>
      </c>
      <c r="G74" s="2" t="s">
        <v>7</v>
      </c>
      <c r="H74" s="7" t="s">
        <v>478</v>
      </c>
      <c r="I74" s="7" t="str" cm="1">
        <f t="array" ref="I74">_xlfn.SWITCH(H74,"ELEC","Electronics","BEAU","Beauty","HOME","Home &amp; Kitchen","FASH","Fashion")</f>
        <v>Electronics</v>
      </c>
      <c r="J74" s="7" t="str">
        <f t="shared" si="1"/>
        <v>Match</v>
      </c>
      <c r="K74" s="2">
        <v>-2</v>
      </c>
      <c r="L74" s="8">
        <v>240.05</v>
      </c>
      <c r="M74" s="9">
        <v>0.1</v>
      </c>
      <c r="N74" s="8">
        <v>-432.09</v>
      </c>
      <c r="O74" s="2" t="s">
        <v>8</v>
      </c>
      <c r="P74" s="7" t="s">
        <v>14</v>
      </c>
      <c r="Q74" s="2" t="s">
        <v>206</v>
      </c>
      <c r="R74" s="2">
        <v>8</v>
      </c>
      <c r="S74" t="str">
        <f>IF(Table1[[#This Row],[Order Date]]&lt;Q74,"Yes","No")</f>
        <v>Yes</v>
      </c>
    </row>
    <row r="75" spans="1:19" ht="14.25" customHeight="1" x14ac:dyDescent="0.3">
      <c r="A75" s="2" t="s">
        <v>207</v>
      </c>
      <c r="B75" s="13">
        <v>45847</v>
      </c>
      <c r="C75" s="2" t="s">
        <v>208</v>
      </c>
      <c r="D75" s="3" t="s">
        <v>34</v>
      </c>
      <c r="E75" s="3" t="s">
        <v>35</v>
      </c>
      <c r="F75" s="2" t="s">
        <v>6</v>
      </c>
      <c r="G75" s="2" t="s">
        <v>13</v>
      </c>
      <c r="H75" s="7" t="s">
        <v>479</v>
      </c>
      <c r="I75" s="7" t="str" cm="1">
        <f t="array" ref="I75">_xlfn.SWITCH(H75,"ELEC","Electronics","BEAU","Beauty","HOME","Home &amp; Kitchen","FASH","Fashion")</f>
        <v>Beauty</v>
      </c>
      <c r="J75" s="7" t="str">
        <f t="shared" si="1"/>
        <v>Mismatch</v>
      </c>
      <c r="K75" s="2">
        <v>1</v>
      </c>
      <c r="L75" s="8">
        <v>312.56</v>
      </c>
      <c r="M75" s="9">
        <v>0.05</v>
      </c>
      <c r="N75" s="8">
        <v>296.93</v>
      </c>
      <c r="O75" s="2" t="s">
        <v>40</v>
      </c>
      <c r="P75" s="7" t="s">
        <v>45</v>
      </c>
      <c r="Q75" s="2" t="s">
        <v>209</v>
      </c>
      <c r="R75" s="2">
        <v>3</v>
      </c>
      <c r="S75" t="str">
        <f>IF(Table1[[#This Row],[Order Date]]&lt;Q75,"Yes","No")</f>
        <v>Yes</v>
      </c>
    </row>
    <row r="76" spans="1:19" ht="14.25" customHeight="1" x14ac:dyDescent="0.3">
      <c r="A76" s="2" t="s">
        <v>210</v>
      </c>
      <c r="B76" s="13">
        <v>45672</v>
      </c>
      <c r="C76" s="2" t="s">
        <v>211</v>
      </c>
      <c r="D76" s="3" t="s">
        <v>58</v>
      </c>
      <c r="E76" s="3" t="s">
        <v>183</v>
      </c>
      <c r="F76" s="2" t="s">
        <v>44</v>
      </c>
      <c r="G76" s="2" t="s">
        <v>19</v>
      </c>
      <c r="H76" s="7" t="s">
        <v>480</v>
      </c>
      <c r="I76" s="7" t="str" cm="1">
        <f t="array" ref="I76">_xlfn.SWITCH(H76,"ELEC","Electronics","BEAU","Beauty","HOME","Home &amp; Kitchen","FASH","Fashion")</f>
        <v>Home &amp; Kitchen</v>
      </c>
      <c r="J76" s="7" t="str">
        <f t="shared" si="1"/>
        <v>Mismatch</v>
      </c>
      <c r="K76" s="2">
        <v>1</v>
      </c>
      <c r="L76" s="8">
        <v>153.75</v>
      </c>
      <c r="M76" s="9">
        <v>0.1</v>
      </c>
      <c r="N76" s="8">
        <v>138.38</v>
      </c>
      <c r="O76" s="2" t="s">
        <v>40</v>
      </c>
      <c r="P76" s="7" t="s">
        <v>53</v>
      </c>
      <c r="Q76" s="2" t="s">
        <v>212</v>
      </c>
      <c r="R76" s="2">
        <v>4</v>
      </c>
      <c r="S76" t="str">
        <f>IF(Table1[[#This Row],[Order Date]]&lt;Q76,"Yes","No")</f>
        <v>Yes</v>
      </c>
    </row>
    <row r="77" spans="1:19" ht="14.25" customHeight="1" x14ac:dyDescent="0.3">
      <c r="A77" s="2" t="s">
        <v>213</v>
      </c>
      <c r="B77" s="13">
        <v>45911</v>
      </c>
      <c r="C77" s="2" t="s">
        <v>214</v>
      </c>
      <c r="D77" s="3" t="s">
        <v>58</v>
      </c>
      <c r="E77" s="3" t="s">
        <v>183</v>
      </c>
      <c r="F77" s="2" t="s">
        <v>71</v>
      </c>
      <c r="G77" s="2" t="s">
        <v>49</v>
      </c>
      <c r="H77" s="7" t="s">
        <v>481</v>
      </c>
      <c r="I77" s="7" t="str" cm="1">
        <f t="array" ref="I77">_xlfn.SWITCH(H77,"ELEC","Electronics","BEAU","Beauty","HOME","Home &amp; Kitchen","FASH","Fashion")</f>
        <v>Fashion</v>
      </c>
      <c r="J77" s="7" t="str">
        <f t="shared" si="1"/>
        <v>Mismatch</v>
      </c>
      <c r="K77" s="2">
        <v>10</v>
      </c>
      <c r="L77" s="8">
        <v>344.74</v>
      </c>
      <c r="M77" s="9">
        <v>0.15</v>
      </c>
      <c r="N77" s="8">
        <v>2930.29</v>
      </c>
      <c r="O77" s="2" t="s">
        <v>30</v>
      </c>
      <c r="P77" s="7" t="s">
        <v>31</v>
      </c>
      <c r="Q77" s="2" t="s">
        <v>215</v>
      </c>
      <c r="R77" s="2">
        <v>5</v>
      </c>
      <c r="S77" t="str">
        <f>IF(Table1[[#This Row],[Order Date]]&lt;Q77,"Yes","No")</f>
        <v>Yes</v>
      </c>
    </row>
    <row r="78" spans="1:19" ht="14.25" customHeight="1" x14ac:dyDescent="0.3">
      <c r="A78" s="2" t="s">
        <v>216</v>
      </c>
      <c r="B78" s="13">
        <v>45896</v>
      </c>
      <c r="C78" s="2" t="s">
        <v>217</v>
      </c>
      <c r="D78" s="3" t="s">
        <v>17</v>
      </c>
      <c r="E78" s="3" t="s">
        <v>18</v>
      </c>
      <c r="F78" s="2" t="s">
        <v>71</v>
      </c>
      <c r="G78" s="2" t="s">
        <v>13</v>
      </c>
      <c r="H78" s="7" t="s">
        <v>479</v>
      </c>
      <c r="I78" s="7" t="str" cm="1">
        <f t="array" ref="I78">_xlfn.SWITCH(H78,"ELEC","Electronics","BEAU","Beauty","HOME","Home &amp; Kitchen","FASH","Fashion")</f>
        <v>Beauty</v>
      </c>
      <c r="J78" s="7" t="str">
        <f t="shared" si="1"/>
        <v>Mismatch</v>
      </c>
      <c r="K78" s="2">
        <v>3</v>
      </c>
      <c r="L78" s="8">
        <v>46.19</v>
      </c>
      <c r="M78" s="9">
        <v>0.1</v>
      </c>
      <c r="N78" s="8">
        <v>124.71</v>
      </c>
      <c r="O78" s="2" t="s">
        <v>30</v>
      </c>
      <c r="P78" s="7" t="s">
        <v>31</v>
      </c>
      <c r="Q78" s="2" t="s">
        <v>218</v>
      </c>
      <c r="R78" s="2">
        <v>5</v>
      </c>
      <c r="S78" t="str">
        <f>IF(Table1[[#This Row],[Order Date]]&lt;Q78,"Yes","No")</f>
        <v>Yes</v>
      </c>
    </row>
    <row r="79" spans="1:19" ht="14.25" customHeight="1" x14ac:dyDescent="0.3">
      <c r="A79" s="2" t="s">
        <v>219</v>
      </c>
      <c r="B79" s="13">
        <v>45854</v>
      </c>
      <c r="C79" s="2" t="s">
        <v>92</v>
      </c>
      <c r="D79" s="3" t="s">
        <v>17</v>
      </c>
      <c r="E79" s="3" t="s">
        <v>18</v>
      </c>
      <c r="F79" s="2" t="s">
        <v>6</v>
      </c>
      <c r="G79" s="2" t="s">
        <v>49</v>
      </c>
      <c r="H79" s="7" t="s">
        <v>481</v>
      </c>
      <c r="I79" s="7" t="str" cm="1">
        <f t="array" ref="I79">_xlfn.SWITCH(H79,"ELEC","Electronics","BEAU","Beauty","HOME","Home &amp; Kitchen","FASH","Fashion")</f>
        <v>Fashion</v>
      </c>
      <c r="J79" s="7" t="str">
        <f t="shared" si="1"/>
        <v>Mismatch</v>
      </c>
      <c r="K79" s="2">
        <v>2</v>
      </c>
      <c r="L79" s="8">
        <v>126.23</v>
      </c>
      <c r="M79" s="9">
        <v>0.2</v>
      </c>
      <c r="N79" s="8">
        <v>201.97</v>
      </c>
      <c r="O79" s="2" t="s">
        <v>8</v>
      </c>
      <c r="P79" s="7" t="s">
        <v>14</v>
      </c>
      <c r="Q79" s="2" t="s">
        <v>220</v>
      </c>
      <c r="R79" s="2">
        <v>3</v>
      </c>
      <c r="S79" t="str">
        <f>IF(Table1[[#This Row],[Order Date]]&lt;Q79,"Yes","No")</f>
        <v>Yes</v>
      </c>
    </row>
    <row r="80" spans="1:19" ht="14.25" customHeight="1" x14ac:dyDescent="0.3">
      <c r="A80" s="2" t="s">
        <v>221</v>
      </c>
      <c r="B80" s="13">
        <v>46009</v>
      </c>
      <c r="C80" s="2" t="s">
        <v>103</v>
      </c>
      <c r="D80" s="3" t="s">
        <v>23</v>
      </c>
      <c r="E80" s="3" t="s">
        <v>24</v>
      </c>
      <c r="F80" s="2" t="s">
        <v>44</v>
      </c>
      <c r="G80" s="2" t="s">
        <v>29</v>
      </c>
      <c r="H80" s="7" t="s">
        <v>478</v>
      </c>
      <c r="I80" s="7" t="str" cm="1">
        <f t="array" ref="I80">_xlfn.SWITCH(H80,"ELEC","Electronics","BEAU","Beauty","HOME","Home &amp; Kitchen","FASH","Fashion")</f>
        <v>Electronics</v>
      </c>
      <c r="J80" s="7" t="str">
        <f t="shared" si="1"/>
        <v>Mismatch</v>
      </c>
      <c r="K80" s="2">
        <v>0</v>
      </c>
      <c r="L80" s="8">
        <v>375.13</v>
      </c>
      <c r="M80" s="9">
        <v>0.1</v>
      </c>
      <c r="N80" s="8">
        <v>0</v>
      </c>
      <c r="O80" s="2" t="s">
        <v>8</v>
      </c>
      <c r="P80" s="7" t="s">
        <v>53</v>
      </c>
      <c r="Q80" s="2" t="s">
        <v>222</v>
      </c>
      <c r="R80" s="2">
        <v>2</v>
      </c>
      <c r="S80" t="str">
        <f>IF(Table1[[#This Row],[Order Date]]&lt;Q80,"Yes","No")</f>
        <v>Yes</v>
      </c>
    </row>
    <row r="81" spans="1:19" ht="14.25" customHeight="1" x14ac:dyDescent="0.3">
      <c r="A81" s="2" t="s">
        <v>223</v>
      </c>
      <c r="B81" s="13">
        <v>46006</v>
      </c>
      <c r="C81" s="2" t="s">
        <v>224</v>
      </c>
      <c r="D81" s="3" t="s">
        <v>39</v>
      </c>
      <c r="E81" s="3" t="s">
        <v>11</v>
      </c>
      <c r="F81" s="2" t="s">
        <v>44</v>
      </c>
      <c r="G81" s="2" t="s">
        <v>7</v>
      </c>
      <c r="H81" s="7" t="s">
        <v>478</v>
      </c>
      <c r="I81" s="7" t="str" cm="1">
        <f t="array" ref="I81">_xlfn.SWITCH(H81,"ELEC","Electronics","BEAU","Beauty","HOME","Home &amp; Kitchen","FASH","Fashion")</f>
        <v>Electronics</v>
      </c>
      <c r="J81" s="7" t="str">
        <f t="shared" si="1"/>
        <v>Mismatch</v>
      </c>
      <c r="K81" s="2">
        <v>2</v>
      </c>
      <c r="L81" s="8">
        <v>452.67</v>
      </c>
      <c r="M81" s="9">
        <v>0</v>
      </c>
      <c r="N81" s="8">
        <v>905.34</v>
      </c>
      <c r="O81" s="2" t="s">
        <v>8</v>
      </c>
      <c r="P81" s="7" t="s">
        <v>14</v>
      </c>
      <c r="Q81" s="2" t="s">
        <v>225</v>
      </c>
      <c r="R81" s="2">
        <v>3</v>
      </c>
      <c r="S81" t="str">
        <f>IF(Table1[[#This Row],[Order Date]]&lt;Q81,"Yes","No")</f>
        <v>Yes</v>
      </c>
    </row>
    <row r="82" spans="1:19" ht="14.25" customHeight="1" x14ac:dyDescent="0.3">
      <c r="A82" s="2" t="s">
        <v>226</v>
      </c>
      <c r="B82" s="13">
        <v>45870</v>
      </c>
      <c r="C82" s="2" t="s">
        <v>227</v>
      </c>
      <c r="D82" s="3" t="s">
        <v>58</v>
      </c>
      <c r="E82" s="3" t="s">
        <v>28</v>
      </c>
      <c r="F82" s="2" t="s">
        <v>6</v>
      </c>
      <c r="G82" s="2" t="s">
        <v>7</v>
      </c>
      <c r="H82" s="7" t="s">
        <v>478</v>
      </c>
      <c r="I82" s="7" t="str" cm="1">
        <f t="array" ref="I82">_xlfn.SWITCH(H82,"ELEC","Electronics","BEAU","Beauty","HOME","Home &amp; Kitchen","FASH","Fashion")</f>
        <v>Electronics</v>
      </c>
      <c r="J82" s="7" t="str">
        <f t="shared" si="1"/>
        <v>Match</v>
      </c>
      <c r="K82" s="2">
        <v>3</v>
      </c>
      <c r="L82" s="8">
        <v>395.39</v>
      </c>
      <c r="M82" s="9">
        <v>0.1</v>
      </c>
      <c r="N82" s="8">
        <v>1067.55</v>
      </c>
      <c r="O82" s="2" t="s">
        <v>8</v>
      </c>
      <c r="P82" s="7" t="s">
        <v>67</v>
      </c>
      <c r="Q82" s="2" t="s">
        <v>110</v>
      </c>
      <c r="S82" t="str">
        <f>IF(Table1[[#This Row],[Order Date]]&lt;Q82,"Yes","No")</f>
        <v>Yes</v>
      </c>
    </row>
    <row r="83" spans="1:19" ht="14.25" customHeight="1" x14ac:dyDescent="0.3">
      <c r="A83" s="2" t="s">
        <v>228</v>
      </c>
      <c r="B83" s="13">
        <v>45897</v>
      </c>
      <c r="C83" s="2" t="s">
        <v>229</v>
      </c>
      <c r="D83" s="3" t="s">
        <v>23</v>
      </c>
      <c r="E83" s="3" t="s">
        <v>24</v>
      </c>
      <c r="F83" s="2" t="s">
        <v>12</v>
      </c>
      <c r="G83" s="2" t="s">
        <v>7</v>
      </c>
      <c r="H83" s="7" t="s">
        <v>478</v>
      </c>
      <c r="I83" s="7" t="str" cm="1">
        <f t="array" ref="I83">_xlfn.SWITCH(H83,"ELEC","Electronics","BEAU","Beauty","HOME","Home &amp; Kitchen","FASH","Fashion")</f>
        <v>Electronics</v>
      </c>
      <c r="J83" s="7" t="str">
        <f t="shared" si="1"/>
        <v>Mismatch</v>
      </c>
      <c r="K83" s="2">
        <v>4</v>
      </c>
      <c r="L83" s="8">
        <v>431.47</v>
      </c>
      <c r="M83" s="9">
        <v>0.15</v>
      </c>
      <c r="N83" s="8">
        <v>1467</v>
      </c>
      <c r="O83" s="2" t="s">
        <v>40</v>
      </c>
      <c r="P83" s="7" t="s">
        <v>45</v>
      </c>
      <c r="R83" s="2">
        <v>5</v>
      </c>
      <c r="S83" t="str">
        <f>IF(Table1[[#This Row],[Order Date]]&lt;Q83,"Yes","No")</f>
        <v>No</v>
      </c>
    </row>
    <row r="84" spans="1:19" ht="14.25" customHeight="1" x14ac:dyDescent="0.3">
      <c r="A84" s="2" t="s">
        <v>230</v>
      </c>
      <c r="B84" s="13">
        <v>45876</v>
      </c>
      <c r="C84" s="2" t="s">
        <v>22</v>
      </c>
      <c r="D84" s="3" t="s">
        <v>34</v>
      </c>
      <c r="E84" s="3" t="s">
        <v>35</v>
      </c>
      <c r="F84" s="2" t="s">
        <v>6</v>
      </c>
      <c r="G84" s="2" t="s">
        <v>19</v>
      </c>
      <c r="H84" s="7" t="s">
        <v>480</v>
      </c>
      <c r="I84" s="7" t="str" cm="1">
        <f t="array" ref="I84">_xlfn.SWITCH(H84,"ELEC","Electronics","BEAU","Beauty","HOME","Home &amp; Kitchen","FASH","Fashion")</f>
        <v>Home &amp; Kitchen</v>
      </c>
      <c r="J84" s="7" t="str">
        <f t="shared" si="1"/>
        <v>Mismatch</v>
      </c>
      <c r="K84" s="2">
        <v>10</v>
      </c>
      <c r="L84" s="8">
        <v>196.7</v>
      </c>
      <c r="M84" s="9">
        <v>0.1</v>
      </c>
      <c r="N84" s="8">
        <v>1770.3</v>
      </c>
      <c r="O84" s="2" t="s">
        <v>50</v>
      </c>
      <c r="P84" s="7" t="s">
        <v>53</v>
      </c>
      <c r="Q84" s="2" t="s">
        <v>231</v>
      </c>
      <c r="R84" s="2">
        <v>1</v>
      </c>
      <c r="S84" t="str">
        <f>IF(Table1[[#This Row],[Order Date]]&lt;Q84,"Yes","No")</f>
        <v>Yes</v>
      </c>
    </row>
    <row r="85" spans="1:19" ht="14.25" customHeight="1" x14ac:dyDescent="0.3">
      <c r="A85" s="2" t="s">
        <v>232</v>
      </c>
      <c r="B85" s="13">
        <v>45989</v>
      </c>
      <c r="C85" s="2" t="s">
        <v>233</v>
      </c>
      <c r="D85" s="3" t="s">
        <v>58</v>
      </c>
      <c r="E85" s="3" t="s">
        <v>5</v>
      </c>
      <c r="F85" s="2" t="s">
        <v>6</v>
      </c>
      <c r="G85" s="2" t="s">
        <v>49</v>
      </c>
      <c r="H85" s="7" t="s">
        <v>481</v>
      </c>
      <c r="I85" s="7" t="str" cm="1">
        <f t="array" ref="I85">_xlfn.SWITCH(H85,"ELEC","Electronics","BEAU","Beauty","HOME","Home &amp; Kitchen","FASH","Fashion")</f>
        <v>Fashion</v>
      </c>
      <c r="J85" s="7" t="str">
        <f t="shared" si="1"/>
        <v>Mismatch</v>
      </c>
      <c r="K85" s="2">
        <v>5</v>
      </c>
      <c r="L85" s="8">
        <v>328.13</v>
      </c>
      <c r="M85" s="9">
        <v>0</v>
      </c>
      <c r="N85" s="8">
        <v>1640.65</v>
      </c>
      <c r="O85" s="2" t="s">
        <v>40</v>
      </c>
      <c r="P85" s="7" t="s">
        <v>45</v>
      </c>
      <c r="Q85" s="2" t="s">
        <v>234</v>
      </c>
      <c r="R85" s="2">
        <v>2</v>
      </c>
      <c r="S85" t="str">
        <f>IF(Table1[[#This Row],[Order Date]]&lt;Q85,"Yes","No")</f>
        <v>Yes</v>
      </c>
    </row>
    <row r="86" spans="1:19" ht="14.25" customHeight="1" x14ac:dyDescent="0.3">
      <c r="A86" s="2" t="s">
        <v>235</v>
      </c>
      <c r="B86" s="13">
        <v>45856</v>
      </c>
      <c r="C86" s="2" t="s">
        <v>465</v>
      </c>
      <c r="D86" s="3" t="s">
        <v>58</v>
      </c>
      <c r="E86" s="3" t="s">
        <v>28</v>
      </c>
      <c r="F86" s="2" t="s">
        <v>71</v>
      </c>
      <c r="G86" s="2" t="s">
        <v>19</v>
      </c>
      <c r="H86" s="7" t="s">
        <v>480</v>
      </c>
      <c r="I86" s="7" t="str" cm="1">
        <f t="array" ref="I86">_xlfn.SWITCH(H86,"ELEC","Electronics","BEAU","Beauty","HOME","Home &amp; Kitchen","FASH","Fashion")</f>
        <v>Home &amp; Kitchen</v>
      </c>
      <c r="J86" s="7" t="str">
        <f t="shared" si="1"/>
        <v>Match</v>
      </c>
      <c r="K86" s="2">
        <v>9</v>
      </c>
      <c r="L86" s="8">
        <v>215.37</v>
      </c>
      <c r="M86" s="9">
        <v>0.05</v>
      </c>
      <c r="N86" s="8">
        <v>1841.41</v>
      </c>
      <c r="O86" s="2" t="s">
        <v>50</v>
      </c>
      <c r="P86" s="7" t="s">
        <v>67</v>
      </c>
      <c r="Q86" s="2" t="s">
        <v>236</v>
      </c>
      <c r="R86" s="2">
        <v>4</v>
      </c>
      <c r="S86" t="str">
        <f>IF(Table1[[#This Row],[Order Date]]&lt;Q86,"Yes","No")</f>
        <v>Yes</v>
      </c>
    </row>
    <row r="87" spans="1:19" ht="14.25" customHeight="1" x14ac:dyDescent="0.3">
      <c r="A87" s="2" t="s">
        <v>237</v>
      </c>
      <c r="B87" s="13">
        <v>45769</v>
      </c>
      <c r="C87" s="2" t="s">
        <v>336</v>
      </c>
      <c r="D87" s="3" t="s">
        <v>23</v>
      </c>
      <c r="E87" s="3" t="s">
        <v>24</v>
      </c>
      <c r="F87" s="2" t="s">
        <v>71</v>
      </c>
      <c r="G87" s="2" t="s">
        <v>49</v>
      </c>
      <c r="H87" s="7" t="s">
        <v>481</v>
      </c>
      <c r="I87" s="7" t="str" cm="1">
        <f t="array" ref="I87">_xlfn.SWITCH(H87,"ELEC","Electronics","BEAU","Beauty","HOME","Home &amp; Kitchen","FASH","Fashion")</f>
        <v>Fashion</v>
      </c>
      <c r="J87" s="7" t="str">
        <f t="shared" si="1"/>
        <v>Mismatch</v>
      </c>
      <c r="K87" s="2">
        <v>4</v>
      </c>
      <c r="L87" s="8">
        <v>429.17</v>
      </c>
      <c r="M87" s="9">
        <v>0</v>
      </c>
      <c r="N87" s="8">
        <v>1716.68</v>
      </c>
      <c r="O87" s="2" t="s">
        <v>8</v>
      </c>
      <c r="P87" s="7" t="s">
        <v>45</v>
      </c>
      <c r="Q87" s="2" t="s">
        <v>143</v>
      </c>
      <c r="R87" s="2">
        <v>3</v>
      </c>
      <c r="S87" t="str">
        <f>IF(Table1[[#This Row],[Order Date]]&lt;Q87,"Yes","No")</f>
        <v>Yes</v>
      </c>
    </row>
    <row r="88" spans="1:19" ht="14.25" customHeight="1" x14ac:dyDescent="0.3">
      <c r="A88" s="2" t="s">
        <v>238</v>
      </c>
      <c r="B88" s="13">
        <v>45820</v>
      </c>
      <c r="C88" s="2" t="s">
        <v>136</v>
      </c>
      <c r="D88" s="3" t="s">
        <v>58</v>
      </c>
      <c r="E88" s="3" t="s">
        <v>183</v>
      </c>
      <c r="F88" s="2" t="s">
        <v>44</v>
      </c>
      <c r="G88" s="2" t="s">
        <v>13</v>
      </c>
      <c r="H88" s="7" t="s">
        <v>479</v>
      </c>
      <c r="I88" s="7" t="str" cm="1">
        <f t="array" ref="I88">_xlfn.SWITCH(H88,"ELEC","Electronics","BEAU","Beauty","HOME","Home &amp; Kitchen","FASH","Fashion")</f>
        <v>Beauty</v>
      </c>
      <c r="J88" s="7" t="str">
        <f t="shared" si="1"/>
        <v>Mismatch</v>
      </c>
      <c r="K88" s="2">
        <v>1</v>
      </c>
      <c r="L88" s="8">
        <v>34.78</v>
      </c>
      <c r="M88" s="9">
        <v>0.1</v>
      </c>
      <c r="N88" s="8">
        <v>31.3</v>
      </c>
      <c r="O88" s="2" t="s">
        <v>8</v>
      </c>
      <c r="P88" s="7" t="s">
        <v>45</v>
      </c>
      <c r="Q88" s="2" t="s">
        <v>88</v>
      </c>
      <c r="R88" s="2">
        <v>2</v>
      </c>
      <c r="S88" t="str">
        <f>IF(Table1[[#This Row],[Order Date]]&lt;Q88,"Yes","No")</f>
        <v>Yes</v>
      </c>
    </row>
    <row r="89" spans="1:19" ht="14.25" customHeight="1" x14ac:dyDescent="0.3">
      <c r="A89" s="2" t="s">
        <v>239</v>
      </c>
      <c r="B89" s="13">
        <v>45777</v>
      </c>
      <c r="C89" s="2" t="s">
        <v>468</v>
      </c>
      <c r="D89" s="3" t="s">
        <v>17</v>
      </c>
      <c r="E89" s="3" t="s">
        <v>18</v>
      </c>
      <c r="F89" s="2" t="s">
        <v>6</v>
      </c>
      <c r="G89" s="2" t="s">
        <v>7</v>
      </c>
      <c r="H89" s="7" t="s">
        <v>478</v>
      </c>
      <c r="I89" s="7" t="str" cm="1">
        <f t="array" ref="I89">_xlfn.SWITCH(H89,"ELEC","Electronics","BEAU","Beauty","HOME","Home &amp; Kitchen","FASH","Fashion")</f>
        <v>Electronics</v>
      </c>
      <c r="J89" s="7" t="str">
        <f t="shared" si="1"/>
        <v>Match</v>
      </c>
      <c r="K89" s="2">
        <v>10</v>
      </c>
      <c r="L89" s="8">
        <v>11.39</v>
      </c>
      <c r="M89" s="9">
        <v>0.05</v>
      </c>
      <c r="N89" s="8">
        <v>108.2</v>
      </c>
      <c r="O89" s="2" t="s">
        <v>8</v>
      </c>
      <c r="P89" s="7" t="s">
        <v>14</v>
      </c>
      <c r="Q89" s="2" t="s">
        <v>240</v>
      </c>
      <c r="R89" s="2">
        <v>2</v>
      </c>
      <c r="S89" t="str">
        <f>IF(Table1[[#This Row],[Order Date]]&lt;Q89,"Yes","No")</f>
        <v>Yes</v>
      </c>
    </row>
    <row r="90" spans="1:19" ht="14.25" customHeight="1" x14ac:dyDescent="0.3">
      <c r="A90" s="2" t="s">
        <v>241</v>
      </c>
      <c r="B90" s="13">
        <v>45693</v>
      </c>
      <c r="C90" s="2" t="s">
        <v>242</v>
      </c>
      <c r="D90" s="3" t="s">
        <v>39</v>
      </c>
      <c r="E90" s="3" t="s">
        <v>11</v>
      </c>
      <c r="F90" s="2" t="s">
        <v>6</v>
      </c>
      <c r="G90" s="2" t="s">
        <v>19</v>
      </c>
      <c r="H90" s="7" t="s">
        <v>480</v>
      </c>
      <c r="I90" s="7" t="str" cm="1">
        <f t="array" ref="I90">_xlfn.SWITCH(H90,"ELEC","Electronics","BEAU","Beauty","HOME","Home &amp; Kitchen","FASH","Fashion")</f>
        <v>Home &amp; Kitchen</v>
      </c>
      <c r="J90" s="7" t="str">
        <f t="shared" si="1"/>
        <v>Mismatch</v>
      </c>
      <c r="K90" s="2">
        <v>1</v>
      </c>
      <c r="L90" s="8">
        <v>95.38</v>
      </c>
      <c r="M90" s="9">
        <v>1.5</v>
      </c>
      <c r="N90" s="8">
        <v>-47.69</v>
      </c>
      <c r="O90" s="2" t="s">
        <v>30</v>
      </c>
      <c r="P90" s="7" t="s">
        <v>45</v>
      </c>
      <c r="Q90" s="2" t="s">
        <v>243</v>
      </c>
      <c r="R90" s="2">
        <v>2</v>
      </c>
      <c r="S90" t="str">
        <f>IF(Table1[[#This Row],[Order Date]]&lt;Q90,"Yes","No")</f>
        <v>Yes</v>
      </c>
    </row>
    <row r="91" spans="1:19" ht="14.25" customHeight="1" x14ac:dyDescent="0.3">
      <c r="A91" s="2" t="s">
        <v>244</v>
      </c>
      <c r="B91" s="13">
        <v>45961</v>
      </c>
      <c r="C91" s="2" t="s">
        <v>186</v>
      </c>
      <c r="D91" s="3" t="s">
        <v>17</v>
      </c>
      <c r="E91" s="3" t="s">
        <v>18</v>
      </c>
      <c r="F91" s="2" t="s">
        <v>44</v>
      </c>
      <c r="G91" s="2" t="s">
        <v>49</v>
      </c>
      <c r="H91" s="7" t="s">
        <v>481</v>
      </c>
      <c r="I91" s="7" t="str" cm="1">
        <f t="array" ref="I91">_xlfn.SWITCH(H91,"ELEC","Electronics","BEAU","Beauty","HOME","Home &amp; Kitchen","FASH","Fashion")</f>
        <v>Fashion</v>
      </c>
      <c r="J91" s="7" t="str">
        <f t="shared" si="1"/>
        <v>Match</v>
      </c>
      <c r="K91" s="2">
        <v>9</v>
      </c>
      <c r="L91" s="8">
        <v>118.56</v>
      </c>
      <c r="M91" s="9">
        <v>0.2</v>
      </c>
      <c r="N91" s="8">
        <v>853.63</v>
      </c>
      <c r="O91" s="2" t="s">
        <v>8</v>
      </c>
      <c r="P91" s="7" t="s">
        <v>45</v>
      </c>
      <c r="Q91" s="2" t="s">
        <v>245</v>
      </c>
      <c r="R91" s="2">
        <v>1</v>
      </c>
      <c r="S91" t="str">
        <f>IF(Table1[[#This Row],[Order Date]]&lt;Q91,"Yes","No")</f>
        <v>Yes</v>
      </c>
    </row>
    <row r="92" spans="1:19" ht="14.25" customHeight="1" x14ac:dyDescent="0.3">
      <c r="A92" s="2" t="s">
        <v>246</v>
      </c>
      <c r="B92" s="13">
        <v>46009</v>
      </c>
      <c r="C92" s="2" t="s">
        <v>247</v>
      </c>
      <c r="D92" s="3" t="s">
        <v>58</v>
      </c>
      <c r="E92" s="3" t="s">
        <v>5</v>
      </c>
      <c r="F92" s="2" t="s">
        <v>6</v>
      </c>
      <c r="G92" s="2" t="s">
        <v>49</v>
      </c>
      <c r="H92" s="7" t="s">
        <v>481</v>
      </c>
      <c r="I92" s="7" t="str" cm="1">
        <f t="array" ref="I92">_xlfn.SWITCH(H92,"ELEC","Electronics","BEAU","Beauty","HOME","Home &amp; Kitchen","FASH","Fashion")</f>
        <v>Fashion</v>
      </c>
      <c r="J92" s="7" t="str">
        <f t="shared" si="1"/>
        <v>Mismatch</v>
      </c>
      <c r="K92" s="2">
        <v>-2</v>
      </c>
      <c r="L92" s="8">
        <v>46.01</v>
      </c>
      <c r="M92" s="9">
        <v>0</v>
      </c>
      <c r="N92" s="8">
        <v>-92.02</v>
      </c>
      <c r="O92" s="2" t="s">
        <v>8</v>
      </c>
      <c r="P92" s="7" t="s">
        <v>53</v>
      </c>
      <c r="Q92" s="2" t="s">
        <v>248</v>
      </c>
      <c r="R92" s="2">
        <v>3</v>
      </c>
      <c r="S92" t="str">
        <f>IF(Table1[[#This Row],[Order Date]]&lt;Q92,"Yes","No")</f>
        <v>Yes</v>
      </c>
    </row>
    <row r="93" spans="1:19" ht="14.25" customHeight="1" x14ac:dyDescent="0.3">
      <c r="A93" s="2" t="s">
        <v>249</v>
      </c>
      <c r="B93" s="13">
        <v>45853</v>
      </c>
      <c r="C93" s="2" t="s">
        <v>134</v>
      </c>
      <c r="D93" s="3" t="s">
        <v>39</v>
      </c>
      <c r="E93" s="3" t="s">
        <v>11</v>
      </c>
      <c r="F93" s="2" t="s">
        <v>44</v>
      </c>
      <c r="G93" s="2" t="s">
        <v>13</v>
      </c>
      <c r="H93" s="7" t="s">
        <v>479</v>
      </c>
      <c r="I93" s="7" t="str" cm="1">
        <f t="array" ref="I93">_xlfn.SWITCH(H93,"ELEC","Electronics","BEAU","Beauty","HOME","Home &amp; Kitchen","FASH","Fashion")</f>
        <v>Beauty</v>
      </c>
      <c r="J93" s="7" t="str">
        <f t="shared" si="1"/>
        <v>Mismatch</v>
      </c>
      <c r="K93" s="2">
        <v>5</v>
      </c>
      <c r="L93" s="8">
        <v>232.32</v>
      </c>
      <c r="M93" s="9">
        <v>0.2</v>
      </c>
      <c r="N93" s="8">
        <v>929.28</v>
      </c>
      <c r="O93" s="2" t="s">
        <v>8</v>
      </c>
      <c r="P93" s="7" t="s">
        <v>14</v>
      </c>
      <c r="Q93" s="2" t="s">
        <v>250</v>
      </c>
      <c r="R93" s="2">
        <v>4</v>
      </c>
      <c r="S93" t="str">
        <f>IF(Table1[[#This Row],[Order Date]]&lt;Q93,"Yes","No")</f>
        <v>Yes</v>
      </c>
    </row>
    <row r="94" spans="1:19" ht="14.25" customHeight="1" x14ac:dyDescent="0.3">
      <c r="A94" s="2" t="s">
        <v>251</v>
      </c>
      <c r="B94" s="13">
        <v>45889</v>
      </c>
      <c r="C94" s="2" t="s">
        <v>381</v>
      </c>
      <c r="D94" s="3" t="s">
        <v>58</v>
      </c>
      <c r="E94" s="3" t="s">
        <v>28</v>
      </c>
      <c r="F94" s="2" t="s">
        <v>71</v>
      </c>
      <c r="G94" s="2" t="s">
        <v>49</v>
      </c>
      <c r="H94" s="7" t="s">
        <v>481</v>
      </c>
      <c r="I94" s="7" t="str" cm="1">
        <f t="array" ref="I94">_xlfn.SWITCH(H94,"ELEC","Electronics","BEAU","Beauty","HOME","Home &amp; Kitchen","FASH","Fashion")</f>
        <v>Fashion</v>
      </c>
      <c r="J94" s="7" t="str">
        <f t="shared" si="1"/>
        <v>Mismatch</v>
      </c>
      <c r="K94" s="2">
        <v>6</v>
      </c>
      <c r="L94" s="8">
        <v>415.44</v>
      </c>
      <c r="M94" s="9">
        <v>0.15</v>
      </c>
      <c r="N94" s="8">
        <v>2118.7399999999998</v>
      </c>
      <c r="O94" s="2" t="s">
        <v>8</v>
      </c>
      <c r="P94" s="7" t="s">
        <v>14</v>
      </c>
      <c r="Q94" s="2" t="s">
        <v>252</v>
      </c>
      <c r="R94" s="2">
        <v>4</v>
      </c>
      <c r="S94" t="str">
        <f>IF(Table1[[#This Row],[Order Date]]&lt;Q94,"Yes","No")</f>
        <v>Yes</v>
      </c>
    </row>
    <row r="95" spans="1:19" ht="14.25" customHeight="1" x14ac:dyDescent="0.3">
      <c r="A95" s="2" t="s">
        <v>253</v>
      </c>
      <c r="B95" s="13">
        <v>45749</v>
      </c>
      <c r="C95" s="2" t="s">
        <v>163</v>
      </c>
      <c r="D95" s="3" t="s">
        <v>17</v>
      </c>
      <c r="E95" s="3" t="s">
        <v>18</v>
      </c>
      <c r="F95" s="2" t="s">
        <v>44</v>
      </c>
      <c r="G95" s="2" t="s">
        <v>29</v>
      </c>
      <c r="H95" s="7" t="s">
        <v>478</v>
      </c>
      <c r="I95" s="7" t="str" cm="1">
        <f t="array" ref="I95">_xlfn.SWITCH(H95,"ELEC","Electronics","BEAU","Beauty","HOME","Home &amp; Kitchen","FASH","Fashion")</f>
        <v>Electronics</v>
      </c>
      <c r="J95" s="7" t="str">
        <f t="shared" si="1"/>
        <v>Mismatch</v>
      </c>
      <c r="K95" s="2">
        <v>2</v>
      </c>
      <c r="L95" s="8">
        <v>221.62</v>
      </c>
      <c r="M95" s="9">
        <v>0.1</v>
      </c>
      <c r="N95" s="8">
        <v>398.92</v>
      </c>
      <c r="O95" s="2" t="s">
        <v>50</v>
      </c>
      <c r="P95" s="7" t="s">
        <v>31</v>
      </c>
      <c r="Q95" s="2" t="s">
        <v>74</v>
      </c>
      <c r="R95" s="2">
        <v>2</v>
      </c>
      <c r="S95" t="str">
        <f>IF(Table1[[#This Row],[Order Date]]&lt;Q95,"Yes","No")</f>
        <v>Yes</v>
      </c>
    </row>
    <row r="96" spans="1:19" ht="14.25" customHeight="1" x14ac:dyDescent="0.3">
      <c r="A96" s="2" t="s">
        <v>254</v>
      </c>
      <c r="B96" s="13">
        <v>45785</v>
      </c>
      <c r="C96" s="2" t="s">
        <v>208</v>
      </c>
      <c r="D96" s="3" t="s">
        <v>34</v>
      </c>
      <c r="E96" s="3" t="s">
        <v>35</v>
      </c>
      <c r="F96" s="2" t="s">
        <v>44</v>
      </c>
      <c r="G96" s="2" t="s">
        <v>29</v>
      </c>
      <c r="H96" s="7" t="s">
        <v>478</v>
      </c>
      <c r="I96" s="7" t="str" cm="1">
        <f t="array" ref="I96">_xlfn.SWITCH(H96,"ELEC","Electronics","BEAU","Beauty","HOME","Home &amp; Kitchen","FASH","Fashion")</f>
        <v>Electronics</v>
      </c>
      <c r="J96" s="7" t="str">
        <f t="shared" si="1"/>
        <v>Mismatch</v>
      </c>
      <c r="K96" s="2">
        <v>5</v>
      </c>
      <c r="L96" s="8">
        <v>304.2</v>
      </c>
      <c r="M96" s="9">
        <v>0.1</v>
      </c>
      <c r="N96" s="8">
        <v>1368.9</v>
      </c>
      <c r="O96" s="2" t="s">
        <v>40</v>
      </c>
      <c r="P96" s="7" t="s">
        <v>45</v>
      </c>
      <c r="Q96" s="2" t="s">
        <v>255</v>
      </c>
      <c r="R96" s="2">
        <v>1</v>
      </c>
      <c r="S96" t="str">
        <f>IF(Table1[[#This Row],[Order Date]]&lt;Q96,"Yes","No")</f>
        <v>Yes</v>
      </c>
    </row>
    <row r="97" spans="1:19" ht="14.25" customHeight="1" x14ac:dyDescent="0.3">
      <c r="A97" s="2" t="s">
        <v>256</v>
      </c>
      <c r="B97" s="13">
        <v>45716</v>
      </c>
      <c r="C97" s="2" t="s">
        <v>128</v>
      </c>
      <c r="D97" s="3" t="s">
        <v>17</v>
      </c>
      <c r="E97" s="3" t="s">
        <v>18</v>
      </c>
      <c r="F97" s="2" t="s">
        <v>44</v>
      </c>
      <c r="G97" s="2" t="s">
        <v>19</v>
      </c>
      <c r="H97" s="7" t="s">
        <v>480</v>
      </c>
      <c r="I97" s="7" t="str" cm="1">
        <f t="array" ref="I97">_xlfn.SWITCH(H97,"ELEC","Electronics","BEAU","Beauty","HOME","Home &amp; Kitchen","FASH","Fashion")</f>
        <v>Home &amp; Kitchen</v>
      </c>
      <c r="J97" s="7" t="str">
        <f t="shared" si="1"/>
        <v>Mismatch</v>
      </c>
      <c r="K97" s="2">
        <v>10</v>
      </c>
      <c r="L97" s="8">
        <v>120.82</v>
      </c>
      <c r="M97" s="9">
        <v>0.15</v>
      </c>
      <c r="N97" s="8">
        <v>1026.97</v>
      </c>
      <c r="O97" s="2" t="s">
        <v>30</v>
      </c>
      <c r="P97" s="7" t="s">
        <v>31</v>
      </c>
      <c r="Q97" s="2" t="s">
        <v>257</v>
      </c>
      <c r="R97" s="2">
        <v>5</v>
      </c>
      <c r="S97" t="str">
        <f>IF(Table1[[#This Row],[Order Date]]&lt;Q97,"Yes","No")</f>
        <v>Yes</v>
      </c>
    </row>
    <row r="98" spans="1:19" ht="14.25" customHeight="1" x14ac:dyDescent="0.3">
      <c r="A98" s="2" t="s">
        <v>258</v>
      </c>
      <c r="B98" s="13">
        <v>45831</v>
      </c>
      <c r="C98" s="2" t="s">
        <v>259</v>
      </c>
      <c r="D98" s="3" t="s">
        <v>58</v>
      </c>
      <c r="E98" s="3" t="s">
        <v>183</v>
      </c>
      <c r="F98" s="2" t="s">
        <v>44</v>
      </c>
      <c r="G98" s="2" t="s">
        <v>29</v>
      </c>
      <c r="H98" s="7" t="s">
        <v>478</v>
      </c>
      <c r="I98" s="7" t="str" cm="1">
        <f t="array" ref="I98">_xlfn.SWITCH(H98,"ELEC","Electronics","BEAU","Beauty","HOME","Home &amp; Kitchen","FASH","Fashion")</f>
        <v>Electronics</v>
      </c>
      <c r="J98" s="7" t="str">
        <f t="shared" si="1"/>
        <v>Mismatch</v>
      </c>
      <c r="K98" s="2">
        <v>3</v>
      </c>
      <c r="L98" s="8">
        <v>436.23</v>
      </c>
      <c r="M98" s="9">
        <v>0.2</v>
      </c>
      <c r="N98" s="8">
        <v>1046.95</v>
      </c>
      <c r="O98" s="2" t="s">
        <v>30</v>
      </c>
      <c r="P98" s="7" t="s">
        <v>45</v>
      </c>
      <c r="Q98" s="2" t="s">
        <v>154</v>
      </c>
      <c r="R98" s="2">
        <v>8</v>
      </c>
      <c r="S98" t="str">
        <f>IF(Table1[[#This Row],[Order Date]]&lt;Q98,"Yes","No")</f>
        <v>Yes</v>
      </c>
    </row>
    <row r="99" spans="1:19" ht="14.25" customHeight="1" x14ac:dyDescent="0.3">
      <c r="A99" s="2" t="s">
        <v>260</v>
      </c>
      <c r="B99" s="13">
        <v>45998</v>
      </c>
      <c r="C99" s="2" t="s">
        <v>78</v>
      </c>
      <c r="D99" s="3" t="s">
        <v>58</v>
      </c>
      <c r="E99" s="3" t="s">
        <v>5</v>
      </c>
      <c r="F99" s="2" t="s">
        <v>6</v>
      </c>
      <c r="G99" s="2" t="s">
        <v>49</v>
      </c>
      <c r="H99" s="7" t="s">
        <v>481</v>
      </c>
      <c r="I99" s="7" t="str" cm="1">
        <f t="array" ref="I99">_xlfn.SWITCH(H99,"ELEC","Electronics","BEAU","Beauty","HOME","Home &amp; Kitchen","FASH","Fashion")</f>
        <v>Fashion</v>
      </c>
      <c r="J99" s="7" t="str">
        <f t="shared" si="1"/>
        <v>Mismatch</v>
      </c>
      <c r="K99" s="2">
        <v>6</v>
      </c>
      <c r="L99" s="8">
        <v>87.13</v>
      </c>
      <c r="M99" s="9">
        <v>0.1</v>
      </c>
      <c r="N99" s="8">
        <v>470.5</v>
      </c>
      <c r="O99" s="2" t="s">
        <v>8</v>
      </c>
      <c r="P99" s="7" t="s">
        <v>53</v>
      </c>
      <c r="Q99" s="2" t="s">
        <v>231</v>
      </c>
      <c r="R99" s="2">
        <v>3</v>
      </c>
      <c r="S99" t="str">
        <f>IF(Table1[[#This Row],[Order Date]]&lt;Q99,"Yes","No")</f>
        <v>Yes</v>
      </c>
    </row>
    <row r="100" spans="1:19" ht="14.25" customHeight="1" x14ac:dyDescent="0.3">
      <c r="A100" s="2" t="s">
        <v>261</v>
      </c>
      <c r="B100" s="13">
        <v>45884</v>
      </c>
      <c r="C100" s="2" t="s">
        <v>4</v>
      </c>
      <c r="D100" s="3" t="s">
        <v>34</v>
      </c>
      <c r="E100" s="3" t="s">
        <v>35</v>
      </c>
      <c r="F100" s="2" t="s">
        <v>44</v>
      </c>
      <c r="G100" s="2" t="s">
        <v>49</v>
      </c>
      <c r="H100" s="7" t="s">
        <v>481</v>
      </c>
      <c r="I100" s="7" t="str" cm="1">
        <f t="array" ref="I100">_xlfn.SWITCH(H100,"ELEC","Electronics","BEAU","Beauty","HOME","Home &amp; Kitchen","FASH","Fashion")</f>
        <v>Fashion</v>
      </c>
      <c r="J100" s="7" t="str">
        <f t="shared" si="1"/>
        <v>Match</v>
      </c>
      <c r="K100" s="2">
        <v>8</v>
      </c>
      <c r="L100" s="8">
        <v>307.47000000000003</v>
      </c>
      <c r="M100" s="9">
        <v>0.15</v>
      </c>
      <c r="N100" s="8">
        <v>2090.8000000000002</v>
      </c>
      <c r="O100" s="2" t="s">
        <v>8</v>
      </c>
      <c r="P100" s="7" t="s">
        <v>31</v>
      </c>
      <c r="Q100" s="2" t="s">
        <v>262</v>
      </c>
      <c r="R100" s="2">
        <v>3</v>
      </c>
      <c r="S100" t="str">
        <f>IF(Table1[[#This Row],[Order Date]]&lt;Q100,"Yes","No")</f>
        <v>Yes</v>
      </c>
    </row>
    <row r="101" spans="1:19" ht="14.25" customHeight="1" x14ac:dyDescent="0.3">
      <c r="A101" s="2" t="s">
        <v>263</v>
      </c>
      <c r="B101" s="14">
        <v>45658</v>
      </c>
      <c r="C101" s="2" t="s">
        <v>227</v>
      </c>
      <c r="D101" s="3" t="s">
        <v>58</v>
      </c>
      <c r="E101" s="3" t="s">
        <v>183</v>
      </c>
      <c r="F101" s="2" t="s">
        <v>6</v>
      </c>
      <c r="G101" s="2" t="s">
        <v>19</v>
      </c>
      <c r="H101" s="7" t="s">
        <v>480</v>
      </c>
      <c r="I101" s="7" t="str" cm="1">
        <f t="array" ref="I101">_xlfn.SWITCH(H101,"ELEC","Electronics","BEAU","Beauty","HOME","Home &amp; Kitchen","FASH","Fashion")</f>
        <v>Home &amp; Kitchen</v>
      </c>
      <c r="J101" s="7" t="str">
        <f t="shared" si="1"/>
        <v>Mismatch</v>
      </c>
      <c r="K101" s="2">
        <v>1</v>
      </c>
      <c r="L101" s="8">
        <v>118.05</v>
      </c>
      <c r="M101" s="9">
        <v>0.2</v>
      </c>
      <c r="N101" s="8">
        <v>94.44</v>
      </c>
      <c r="O101" s="2" t="s">
        <v>8</v>
      </c>
      <c r="P101" s="7" t="s">
        <v>45</v>
      </c>
      <c r="Q101" s="2" t="s">
        <v>264</v>
      </c>
      <c r="R101" s="2">
        <v>1</v>
      </c>
      <c r="S101" t="str">
        <f>IF(Table1[[#This Row],[Order Date]]&lt;Q101,"Yes","No")</f>
        <v>Yes</v>
      </c>
    </row>
    <row r="102" spans="1:19" ht="14.25" customHeight="1" x14ac:dyDescent="0.3">
      <c r="A102" s="2" t="s">
        <v>265</v>
      </c>
      <c r="B102" s="13">
        <v>45661</v>
      </c>
      <c r="C102" s="2" t="s">
        <v>266</v>
      </c>
      <c r="D102" s="3" t="s">
        <v>23</v>
      </c>
      <c r="E102" s="3" t="s">
        <v>24</v>
      </c>
      <c r="F102" s="2" t="s">
        <v>71</v>
      </c>
      <c r="G102" s="2" t="s">
        <v>49</v>
      </c>
      <c r="H102" s="7" t="s">
        <v>481</v>
      </c>
      <c r="I102" s="7" t="str" cm="1">
        <f t="array" ref="I102">_xlfn.SWITCH(H102,"ELEC","Electronics","BEAU","Beauty","HOME","Home &amp; Kitchen","FASH","Fashion")</f>
        <v>Fashion</v>
      </c>
      <c r="J102" s="7" t="str">
        <f t="shared" si="1"/>
        <v>Mismatch</v>
      </c>
      <c r="K102" s="2">
        <v>3</v>
      </c>
      <c r="L102" s="8">
        <v>73.3</v>
      </c>
      <c r="M102" s="9">
        <v>0.2</v>
      </c>
      <c r="N102" s="8">
        <v>175.92</v>
      </c>
      <c r="O102" s="2" t="s">
        <v>30</v>
      </c>
      <c r="P102" s="7" t="s">
        <v>45</v>
      </c>
      <c r="Q102" s="2" t="s">
        <v>267</v>
      </c>
      <c r="S102" t="str">
        <f>IF(Table1[[#This Row],[Order Date]]&lt;Q102,"Yes","No")</f>
        <v>Yes</v>
      </c>
    </row>
    <row r="103" spans="1:19" ht="14.25" customHeight="1" x14ac:dyDescent="0.3">
      <c r="A103" s="2" t="s">
        <v>268</v>
      </c>
      <c r="B103" s="13">
        <v>45936</v>
      </c>
      <c r="C103" s="2" t="s">
        <v>269</v>
      </c>
      <c r="D103" s="3" t="s">
        <v>34</v>
      </c>
      <c r="E103" s="3" t="s">
        <v>35</v>
      </c>
      <c r="F103" s="2" t="s">
        <v>6</v>
      </c>
      <c r="G103" s="2" t="s">
        <v>49</v>
      </c>
      <c r="H103" s="7" t="s">
        <v>481</v>
      </c>
      <c r="I103" s="7" t="str" cm="1">
        <f t="array" ref="I103">_xlfn.SWITCH(H103,"ELEC","Electronics","BEAU","Beauty","HOME","Home &amp; Kitchen","FASH","Fashion")</f>
        <v>Fashion</v>
      </c>
      <c r="J103" s="7" t="str">
        <f t="shared" si="1"/>
        <v>Mismatch</v>
      </c>
      <c r="K103" s="2">
        <v>10</v>
      </c>
      <c r="L103" s="8">
        <v>208.17</v>
      </c>
      <c r="M103" s="9">
        <v>0.15</v>
      </c>
      <c r="N103" s="8">
        <v>1769.44</v>
      </c>
      <c r="O103" s="2" t="s">
        <v>8</v>
      </c>
      <c r="P103" s="7" t="s">
        <v>45</v>
      </c>
      <c r="Q103" s="2" t="s">
        <v>270</v>
      </c>
      <c r="R103" s="2">
        <v>3</v>
      </c>
      <c r="S103" t="str">
        <f>IF(Table1[[#This Row],[Order Date]]&lt;Q103,"Yes","No")</f>
        <v>Yes</v>
      </c>
    </row>
    <row r="104" spans="1:19" ht="14.25" customHeight="1" x14ac:dyDescent="0.3">
      <c r="A104" s="2" t="s">
        <v>271</v>
      </c>
      <c r="B104" s="13">
        <v>45703</v>
      </c>
      <c r="C104" s="2" t="s">
        <v>469</v>
      </c>
      <c r="D104" s="3" t="s">
        <v>34</v>
      </c>
      <c r="E104" s="3" t="s">
        <v>35</v>
      </c>
      <c r="F104" s="2" t="s">
        <v>12</v>
      </c>
      <c r="G104" s="2" t="s">
        <v>29</v>
      </c>
      <c r="H104" s="7" t="s">
        <v>478</v>
      </c>
      <c r="I104" s="7" t="str" cm="1">
        <f t="array" ref="I104">_xlfn.SWITCH(H104,"ELEC","Electronics","BEAU","Beauty","HOME","Home &amp; Kitchen","FASH","Fashion")</f>
        <v>Electronics</v>
      </c>
      <c r="J104" s="7" t="str">
        <f t="shared" si="1"/>
        <v>Mismatch</v>
      </c>
      <c r="K104" s="2">
        <v>4</v>
      </c>
      <c r="L104" s="8">
        <v>223.48</v>
      </c>
      <c r="M104" s="9">
        <v>0.15</v>
      </c>
      <c r="N104" s="8">
        <v>759.83</v>
      </c>
      <c r="O104" s="2" t="s">
        <v>8</v>
      </c>
      <c r="P104" s="7" t="s">
        <v>14</v>
      </c>
      <c r="Q104" s="2" t="s">
        <v>272</v>
      </c>
      <c r="R104" s="2">
        <v>5</v>
      </c>
      <c r="S104" t="str">
        <f>IF(Table1[[#This Row],[Order Date]]&lt;Q104,"Yes","No")</f>
        <v>Yes</v>
      </c>
    </row>
    <row r="105" spans="1:19" ht="14.25" customHeight="1" x14ac:dyDescent="0.3">
      <c r="A105" s="2" t="s">
        <v>273</v>
      </c>
      <c r="B105" s="13">
        <v>45902</v>
      </c>
      <c r="C105" s="2" t="s">
        <v>274</v>
      </c>
      <c r="D105" s="3" t="s">
        <v>58</v>
      </c>
      <c r="E105" s="3" t="s">
        <v>183</v>
      </c>
      <c r="F105" s="2" t="s">
        <v>6</v>
      </c>
      <c r="G105" s="2" t="s">
        <v>29</v>
      </c>
      <c r="H105" s="7" t="s">
        <v>478</v>
      </c>
      <c r="I105" s="7" t="str" cm="1">
        <f t="array" ref="I105">_xlfn.SWITCH(H105,"ELEC","Electronics","BEAU","Beauty","HOME","Home &amp; Kitchen","FASH","Fashion")</f>
        <v>Electronics</v>
      </c>
      <c r="J105" s="7" t="str">
        <f t="shared" si="1"/>
        <v>Match</v>
      </c>
      <c r="K105" s="2">
        <v>9</v>
      </c>
      <c r="L105" s="8">
        <v>259.88</v>
      </c>
      <c r="M105" s="9">
        <v>0.1</v>
      </c>
      <c r="N105" s="8">
        <v>2105.0300000000002</v>
      </c>
      <c r="O105" s="2" t="s">
        <v>8</v>
      </c>
      <c r="P105" s="7" t="s">
        <v>31</v>
      </c>
      <c r="Q105" s="2" t="s">
        <v>275</v>
      </c>
      <c r="R105" s="2">
        <v>3</v>
      </c>
      <c r="S105" t="str">
        <f>IF(Table1[[#This Row],[Order Date]]&lt;Q105,"Yes","No")</f>
        <v>Yes</v>
      </c>
    </row>
    <row r="106" spans="1:19" ht="14.25" customHeight="1" x14ac:dyDescent="0.3">
      <c r="A106" s="2" t="s">
        <v>276</v>
      </c>
      <c r="B106" s="14">
        <v>45993</v>
      </c>
      <c r="C106" s="2" t="s">
        <v>277</v>
      </c>
      <c r="D106" s="3" t="s">
        <v>39</v>
      </c>
      <c r="E106" s="3" t="s">
        <v>11</v>
      </c>
      <c r="F106" s="2" t="s">
        <v>44</v>
      </c>
      <c r="G106" s="2" t="s">
        <v>7</v>
      </c>
      <c r="H106" s="7" t="s">
        <v>478</v>
      </c>
      <c r="I106" s="7" t="str" cm="1">
        <f t="array" ref="I106">_xlfn.SWITCH(H106,"ELEC","Electronics","BEAU","Beauty","HOME","Home &amp; Kitchen","FASH","Fashion")</f>
        <v>Electronics</v>
      </c>
      <c r="J106" s="7" t="str">
        <f t="shared" si="1"/>
        <v>Mismatch</v>
      </c>
      <c r="K106" s="2">
        <v>0</v>
      </c>
      <c r="L106" s="8">
        <v>237.34</v>
      </c>
      <c r="M106" s="9">
        <v>0.2</v>
      </c>
      <c r="N106" s="8">
        <v>0</v>
      </c>
      <c r="O106" s="2" t="s">
        <v>30</v>
      </c>
      <c r="P106" s="7" t="s">
        <v>14</v>
      </c>
      <c r="Q106" s="2" t="s">
        <v>278</v>
      </c>
      <c r="R106" s="2">
        <v>5</v>
      </c>
      <c r="S106" t="str">
        <f>IF(Table1[[#This Row],[Order Date]]&lt;Q106,"Yes","No")</f>
        <v>Yes</v>
      </c>
    </row>
    <row r="107" spans="1:19" ht="14.25" customHeight="1" x14ac:dyDescent="0.3">
      <c r="A107" s="2" t="s">
        <v>279</v>
      </c>
      <c r="B107" s="13">
        <v>45735</v>
      </c>
      <c r="C107" s="2" t="s">
        <v>280</v>
      </c>
      <c r="D107" s="3" t="s">
        <v>58</v>
      </c>
      <c r="E107" s="3" t="s">
        <v>28</v>
      </c>
      <c r="F107" s="2" t="s">
        <v>44</v>
      </c>
      <c r="G107" s="2" t="s">
        <v>29</v>
      </c>
      <c r="H107" s="7" t="s">
        <v>478</v>
      </c>
      <c r="I107" s="7" t="str" cm="1">
        <f t="array" ref="I107">_xlfn.SWITCH(H107,"ELEC","Electronics","BEAU","Beauty","HOME","Home &amp; Kitchen","FASH","Fashion")</f>
        <v>Electronics</v>
      </c>
      <c r="J107" s="7" t="str">
        <f t="shared" si="1"/>
        <v>Mismatch</v>
      </c>
      <c r="K107" s="2">
        <v>8</v>
      </c>
      <c r="L107" s="8">
        <v>226.68</v>
      </c>
      <c r="M107" s="9">
        <v>0.1</v>
      </c>
      <c r="N107" s="8">
        <v>1632.1</v>
      </c>
      <c r="O107" s="2" t="s">
        <v>8</v>
      </c>
      <c r="P107" s="7" t="s">
        <v>31</v>
      </c>
      <c r="Q107" s="2" t="s">
        <v>281</v>
      </c>
      <c r="R107" s="2">
        <v>3</v>
      </c>
      <c r="S107" t="str">
        <f>IF(Table1[[#This Row],[Order Date]]&lt;Q107,"Yes","No")</f>
        <v>Yes</v>
      </c>
    </row>
    <row r="108" spans="1:19" ht="14.25" customHeight="1" x14ac:dyDescent="0.3">
      <c r="A108" s="2" t="s">
        <v>282</v>
      </c>
      <c r="B108" s="13">
        <v>45876</v>
      </c>
      <c r="C108" s="2" t="s">
        <v>283</v>
      </c>
      <c r="D108" s="3" t="s">
        <v>39</v>
      </c>
      <c r="E108" s="3" t="s">
        <v>11</v>
      </c>
      <c r="F108" s="2" t="s">
        <v>44</v>
      </c>
      <c r="G108" s="2" t="s">
        <v>19</v>
      </c>
      <c r="H108" s="7" t="s">
        <v>480</v>
      </c>
      <c r="I108" s="7" t="str" cm="1">
        <f t="array" ref="I108">_xlfn.SWITCH(H108,"ELEC","Electronics","BEAU","Beauty","HOME","Home &amp; Kitchen","FASH","Fashion")</f>
        <v>Home &amp; Kitchen</v>
      </c>
      <c r="J108" s="7" t="str">
        <f t="shared" si="1"/>
        <v>Mismatch</v>
      </c>
      <c r="K108" s="2">
        <v>2</v>
      </c>
      <c r="L108" s="8">
        <v>325.89</v>
      </c>
      <c r="M108" s="9">
        <v>0</v>
      </c>
      <c r="N108" s="8">
        <v>651.78</v>
      </c>
      <c r="O108" s="2" t="s">
        <v>50</v>
      </c>
      <c r="P108" s="7" t="s">
        <v>14</v>
      </c>
      <c r="Q108" s="2" t="s">
        <v>284</v>
      </c>
      <c r="R108" s="2">
        <v>5</v>
      </c>
      <c r="S108" t="str">
        <f>IF(Table1[[#This Row],[Order Date]]&lt;Q108,"Yes","No")</f>
        <v>Yes</v>
      </c>
    </row>
    <row r="109" spans="1:19" ht="14.25" customHeight="1" x14ac:dyDescent="0.3">
      <c r="A109" s="2" t="s">
        <v>285</v>
      </c>
      <c r="B109" s="13">
        <v>45842</v>
      </c>
      <c r="C109" s="2" t="s">
        <v>286</v>
      </c>
      <c r="D109" s="3" t="s">
        <v>58</v>
      </c>
      <c r="E109" s="3" t="s">
        <v>5</v>
      </c>
      <c r="F109" s="2" t="s">
        <v>12</v>
      </c>
      <c r="G109" s="2" t="s">
        <v>13</v>
      </c>
      <c r="H109" s="7" t="s">
        <v>479</v>
      </c>
      <c r="I109" s="7" t="str" cm="1">
        <f t="array" ref="I109">_xlfn.SWITCH(H109,"ELEC","Electronics","BEAU","Beauty","HOME","Home &amp; Kitchen","FASH","Fashion")</f>
        <v>Beauty</v>
      </c>
      <c r="J109" s="7" t="str">
        <f t="shared" si="1"/>
        <v>Match</v>
      </c>
      <c r="K109" s="2">
        <v>8</v>
      </c>
      <c r="L109" s="8">
        <v>255.67</v>
      </c>
      <c r="M109" s="9">
        <v>0</v>
      </c>
      <c r="N109" s="8">
        <v>2045.36</v>
      </c>
      <c r="O109" s="2" t="s">
        <v>8</v>
      </c>
      <c r="P109" s="7" t="s">
        <v>14</v>
      </c>
      <c r="Q109" s="2" t="s">
        <v>287</v>
      </c>
      <c r="R109" s="2">
        <v>4</v>
      </c>
      <c r="S109" t="str">
        <f>IF(Table1[[#This Row],[Order Date]]&lt;Q109,"Yes","No")</f>
        <v>Yes</v>
      </c>
    </row>
    <row r="110" spans="1:19" ht="14.25" customHeight="1" x14ac:dyDescent="0.3">
      <c r="A110" s="2" t="s">
        <v>288</v>
      </c>
      <c r="B110" s="13">
        <v>45678</v>
      </c>
      <c r="C110" s="2" t="s">
        <v>289</v>
      </c>
      <c r="D110" s="3" t="s">
        <v>23</v>
      </c>
      <c r="E110" s="3" t="s">
        <v>24</v>
      </c>
      <c r="F110" s="2" t="s">
        <v>6</v>
      </c>
      <c r="G110" s="2" t="s">
        <v>49</v>
      </c>
      <c r="H110" s="7" t="s">
        <v>481</v>
      </c>
      <c r="I110" s="7" t="str" cm="1">
        <f t="array" ref="I110">_xlfn.SWITCH(H110,"ELEC","Electronics","BEAU","Beauty","HOME","Home &amp; Kitchen","FASH","Fashion")</f>
        <v>Fashion</v>
      </c>
      <c r="J110" s="7" t="str">
        <f t="shared" si="1"/>
        <v>Mismatch</v>
      </c>
      <c r="K110" s="2">
        <v>-2</v>
      </c>
      <c r="L110" s="8">
        <v>266.79000000000002</v>
      </c>
      <c r="M110" s="9">
        <v>0.2</v>
      </c>
      <c r="N110" s="8">
        <v>-426.86</v>
      </c>
      <c r="O110" s="2" t="s">
        <v>40</v>
      </c>
      <c r="P110" s="7" t="s">
        <v>67</v>
      </c>
      <c r="R110" s="2">
        <v>2</v>
      </c>
      <c r="S110" t="str">
        <f>IF(Table1[[#This Row],[Order Date]]&lt;Q110,"Yes","No")</f>
        <v>No</v>
      </c>
    </row>
    <row r="111" spans="1:19" ht="14.25" customHeight="1" x14ac:dyDescent="0.3">
      <c r="A111" s="2" t="s">
        <v>290</v>
      </c>
      <c r="B111" s="13">
        <v>45981</v>
      </c>
      <c r="C111" s="2" t="s">
        <v>291</v>
      </c>
      <c r="D111" s="3" t="s">
        <v>17</v>
      </c>
      <c r="E111" s="3" t="s">
        <v>18</v>
      </c>
      <c r="F111" s="2" t="s">
        <v>44</v>
      </c>
      <c r="G111" s="2" t="s">
        <v>19</v>
      </c>
      <c r="H111" s="7" t="s">
        <v>480</v>
      </c>
      <c r="I111" s="7" t="str" cm="1">
        <f t="array" ref="I111">_xlfn.SWITCH(H111,"ELEC","Electronics","BEAU","Beauty","HOME","Home &amp; Kitchen","FASH","Fashion")</f>
        <v>Home &amp; Kitchen</v>
      </c>
      <c r="J111" s="7" t="str">
        <f t="shared" si="1"/>
        <v>Mismatch</v>
      </c>
      <c r="K111" s="2">
        <v>2</v>
      </c>
      <c r="L111" s="8">
        <v>171.55</v>
      </c>
      <c r="M111" s="9">
        <v>0.2</v>
      </c>
      <c r="N111" s="8">
        <v>274.48</v>
      </c>
      <c r="O111" s="2" t="s">
        <v>30</v>
      </c>
      <c r="P111" s="7" t="s">
        <v>53</v>
      </c>
      <c r="Q111" s="2" t="s">
        <v>54</v>
      </c>
      <c r="R111" s="2">
        <v>4</v>
      </c>
      <c r="S111" t="str">
        <f>IF(Table1[[#This Row],[Order Date]]&lt;Q111,"Yes","No")</f>
        <v>Yes</v>
      </c>
    </row>
    <row r="112" spans="1:19" ht="14.25" customHeight="1" x14ac:dyDescent="0.3">
      <c r="A112" s="2" t="s">
        <v>292</v>
      </c>
      <c r="B112" s="13">
        <v>45997</v>
      </c>
      <c r="C112" s="2" t="s">
        <v>161</v>
      </c>
      <c r="D112" s="3" t="s">
        <v>58</v>
      </c>
      <c r="E112" s="3" t="s">
        <v>28</v>
      </c>
      <c r="F112" s="2" t="s">
        <v>44</v>
      </c>
      <c r="G112" s="2" t="s">
        <v>19</v>
      </c>
      <c r="H112" s="7" t="s">
        <v>480</v>
      </c>
      <c r="I112" s="7" t="str" cm="1">
        <f t="array" ref="I112">_xlfn.SWITCH(H112,"ELEC","Electronics","BEAU","Beauty","HOME","Home &amp; Kitchen","FASH","Fashion")</f>
        <v>Home &amp; Kitchen</v>
      </c>
      <c r="J112" s="7" t="str">
        <f t="shared" si="1"/>
        <v>Mismatch</v>
      </c>
      <c r="K112" s="2">
        <v>5</v>
      </c>
      <c r="L112" s="8">
        <v>484.17</v>
      </c>
      <c r="M112" s="9">
        <v>1.5</v>
      </c>
      <c r="N112" s="8">
        <v>-1210.42</v>
      </c>
      <c r="O112" s="2" t="s">
        <v>40</v>
      </c>
      <c r="P112" s="7" t="s">
        <v>14</v>
      </c>
      <c r="Q112" s="2" t="s">
        <v>84</v>
      </c>
      <c r="R112" s="2">
        <v>2</v>
      </c>
      <c r="S112" t="str">
        <f>IF(Table1[[#This Row],[Order Date]]&lt;Q112,"Yes","No")</f>
        <v>Yes</v>
      </c>
    </row>
    <row r="113" spans="1:19" ht="14.25" customHeight="1" x14ac:dyDescent="0.3">
      <c r="A113" s="2" t="s">
        <v>293</v>
      </c>
      <c r="B113" s="13">
        <v>46017</v>
      </c>
      <c r="C113" s="2" t="s">
        <v>294</v>
      </c>
      <c r="D113" s="3" t="s">
        <v>23</v>
      </c>
      <c r="E113" s="3" t="s">
        <v>24</v>
      </c>
      <c r="F113" s="2" t="s">
        <v>6</v>
      </c>
      <c r="G113" s="2" t="s">
        <v>13</v>
      </c>
      <c r="H113" s="7" t="s">
        <v>479</v>
      </c>
      <c r="I113" s="7" t="str" cm="1">
        <f t="array" ref="I113">_xlfn.SWITCH(H113,"ELEC","Electronics","BEAU","Beauty","HOME","Home &amp; Kitchen","FASH","Fashion")</f>
        <v>Beauty</v>
      </c>
      <c r="J113" s="7" t="str">
        <f t="shared" si="1"/>
        <v>Mismatch</v>
      </c>
      <c r="K113" s="2">
        <v>2</v>
      </c>
      <c r="L113" s="8">
        <v>326.55</v>
      </c>
      <c r="M113" s="9">
        <v>0.15</v>
      </c>
      <c r="N113" s="8">
        <v>555.13</v>
      </c>
      <c r="O113" s="2" t="s">
        <v>8</v>
      </c>
      <c r="P113" s="7" t="s">
        <v>45</v>
      </c>
      <c r="Q113" s="2" t="s">
        <v>295</v>
      </c>
      <c r="R113" s="2">
        <v>5</v>
      </c>
      <c r="S113" t="str">
        <f>IF(Table1[[#This Row],[Order Date]]&lt;Q113,"Yes","No")</f>
        <v>Yes</v>
      </c>
    </row>
    <row r="114" spans="1:19" ht="14.25" customHeight="1" x14ac:dyDescent="0.3">
      <c r="A114" s="2" t="s">
        <v>296</v>
      </c>
      <c r="B114" s="13">
        <v>45773</v>
      </c>
      <c r="C114" s="2" t="s">
        <v>465</v>
      </c>
      <c r="D114" s="3" t="s">
        <v>58</v>
      </c>
      <c r="E114" s="3" t="s">
        <v>5</v>
      </c>
      <c r="F114" s="2" t="s">
        <v>6</v>
      </c>
      <c r="G114" s="2" t="s">
        <v>7</v>
      </c>
      <c r="H114" s="7" t="s">
        <v>478</v>
      </c>
      <c r="I114" s="7" t="str" cm="1">
        <f t="array" ref="I114">_xlfn.SWITCH(H114,"ELEC","Electronics","BEAU","Beauty","HOME","Home &amp; Kitchen","FASH","Fashion")</f>
        <v>Electronics</v>
      </c>
      <c r="J114" s="7" t="str">
        <f t="shared" si="1"/>
        <v>Match</v>
      </c>
      <c r="K114" s="2">
        <v>2</v>
      </c>
      <c r="L114" s="8">
        <v>154.94</v>
      </c>
      <c r="M114" s="9">
        <v>0</v>
      </c>
      <c r="N114" s="8">
        <v>309.88</v>
      </c>
      <c r="O114" s="2" t="s">
        <v>50</v>
      </c>
      <c r="P114" s="7" t="s">
        <v>45</v>
      </c>
      <c r="Q114" s="2" t="s">
        <v>297</v>
      </c>
      <c r="R114" s="2">
        <v>5</v>
      </c>
      <c r="S114" t="str">
        <f>IF(Table1[[#This Row],[Order Date]]&lt;Q114,"Yes","No")</f>
        <v>Yes</v>
      </c>
    </row>
    <row r="115" spans="1:19" ht="14.25" customHeight="1" x14ac:dyDescent="0.3">
      <c r="A115" s="2" t="s">
        <v>298</v>
      </c>
      <c r="B115" s="13">
        <v>45720</v>
      </c>
      <c r="C115" s="2" t="s">
        <v>299</v>
      </c>
      <c r="D115" s="3" t="s">
        <v>23</v>
      </c>
      <c r="E115" s="3" t="s">
        <v>24</v>
      </c>
      <c r="F115" s="2" t="s">
        <v>44</v>
      </c>
      <c r="G115" s="2" t="s">
        <v>13</v>
      </c>
      <c r="H115" s="7" t="s">
        <v>479</v>
      </c>
      <c r="I115" s="7" t="str" cm="1">
        <f t="array" ref="I115">_xlfn.SWITCH(H115,"ELEC","Electronics","BEAU","Beauty","HOME","Home &amp; Kitchen","FASH","Fashion")</f>
        <v>Beauty</v>
      </c>
      <c r="J115" s="7" t="str">
        <f t="shared" si="1"/>
        <v>Mismatch</v>
      </c>
      <c r="K115" s="2">
        <v>3</v>
      </c>
      <c r="L115" s="8">
        <v>363.38</v>
      </c>
      <c r="M115" s="9">
        <v>0</v>
      </c>
      <c r="N115" s="8">
        <v>1090.1400000000001</v>
      </c>
      <c r="O115" s="2" t="s">
        <v>8</v>
      </c>
      <c r="P115" s="7" t="s">
        <v>67</v>
      </c>
      <c r="Q115" s="2" t="s">
        <v>300</v>
      </c>
      <c r="R115" s="2">
        <v>4</v>
      </c>
      <c r="S115" t="str">
        <f>IF(Table1[[#This Row],[Order Date]]&lt;Q115,"Yes","No")</f>
        <v>Yes</v>
      </c>
    </row>
    <row r="116" spans="1:19" ht="14.25" customHeight="1" x14ac:dyDescent="0.3">
      <c r="A116" s="2" t="s">
        <v>301</v>
      </c>
      <c r="B116" s="13">
        <v>45777</v>
      </c>
      <c r="C116" s="2" t="s">
        <v>302</v>
      </c>
      <c r="D116" s="3" t="s">
        <v>23</v>
      </c>
      <c r="E116" s="3" t="s">
        <v>24</v>
      </c>
      <c r="F116" s="2" t="s">
        <v>44</v>
      </c>
      <c r="G116" s="2" t="s">
        <v>7</v>
      </c>
      <c r="H116" s="7" t="s">
        <v>478</v>
      </c>
      <c r="I116" s="7" t="str" cm="1">
        <f t="array" ref="I116">_xlfn.SWITCH(H116,"ELEC","Electronics","BEAU","Beauty","HOME","Home &amp; Kitchen","FASH","Fashion")</f>
        <v>Electronics</v>
      </c>
      <c r="J116" s="7" t="str">
        <f t="shared" si="1"/>
        <v>Mismatch</v>
      </c>
      <c r="K116" s="2">
        <v>5</v>
      </c>
      <c r="L116" s="8">
        <v>483.14</v>
      </c>
      <c r="M116" s="9">
        <v>0.15</v>
      </c>
      <c r="N116" s="8">
        <v>2053.34</v>
      </c>
      <c r="O116" s="2" t="s">
        <v>40</v>
      </c>
      <c r="P116" s="7" t="s">
        <v>67</v>
      </c>
      <c r="Q116" s="2" t="s">
        <v>303</v>
      </c>
      <c r="R116" s="2">
        <v>2</v>
      </c>
      <c r="S116" t="str">
        <f>IF(Table1[[#This Row],[Order Date]]&lt;Q116,"Yes","No")</f>
        <v>Yes</v>
      </c>
    </row>
    <row r="117" spans="1:19" ht="14.25" customHeight="1" x14ac:dyDescent="0.3">
      <c r="A117" s="2" t="s">
        <v>304</v>
      </c>
      <c r="B117" s="13">
        <v>45928</v>
      </c>
      <c r="C117" s="2" t="s">
        <v>470</v>
      </c>
      <c r="D117" s="3" t="s">
        <v>58</v>
      </c>
      <c r="E117" s="3" t="s">
        <v>183</v>
      </c>
      <c r="F117" s="2" t="s">
        <v>71</v>
      </c>
      <c r="G117" s="2" t="s">
        <v>7</v>
      </c>
      <c r="H117" s="7" t="s">
        <v>478</v>
      </c>
      <c r="I117" s="7" t="str" cm="1">
        <f t="array" ref="I117">_xlfn.SWITCH(H117,"ELEC","Electronics","BEAU","Beauty","HOME","Home &amp; Kitchen","FASH","Fashion")</f>
        <v>Electronics</v>
      </c>
      <c r="J117" s="7" t="str">
        <f t="shared" si="1"/>
        <v>Mismatch</v>
      </c>
      <c r="K117" s="2">
        <v>4</v>
      </c>
      <c r="L117" s="8">
        <v>402.62</v>
      </c>
      <c r="M117" s="9">
        <v>0.05</v>
      </c>
      <c r="N117" s="8">
        <v>1529.96</v>
      </c>
      <c r="O117" s="2" t="s">
        <v>8</v>
      </c>
      <c r="P117" s="7" t="s">
        <v>53</v>
      </c>
      <c r="Q117" s="2" t="s">
        <v>159</v>
      </c>
      <c r="R117" s="2">
        <v>3</v>
      </c>
      <c r="S117" t="str">
        <f>IF(Table1[[#This Row],[Order Date]]&lt;Q117,"Yes","No")</f>
        <v>Yes</v>
      </c>
    </row>
    <row r="118" spans="1:19" ht="14.25" customHeight="1" x14ac:dyDescent="0.3">
      <c r="A118" s="2" t="s">
        <v>305</v>
      </c>
      <c r="B118" s="13">
        <v>45803</v>
      </c>
      <c r="C118" s="2" t="s">
        <v>78</v>
      </c>
      <c r="D118" s="3" t="s">
        <v>39</v>
      </c>
      <c r="E118" s="3" t="s">
        <v>11</v>
      </c>
      <c r="F118" s="2" t="s">
        <v>6</v>
      </c>
      <c r="G118" s="2" t="s">
        <v>7</v>
      </c>
      <c r="H118" s="7" t="s">
        <v>478</v>
      </c>
      <c r="I118" s="7" t="str" cm="1">
        <f t="array" ref="I118">_xlfn.SWITCH(H118,"ELEC","Electronics","BEAU","Beauty","HOME","Home &amp; Kitchen","FASH","Fashion")</f>
        <v>Electronics</v>
      </c>
      <c r="J118" s="7" t="str">
        <f t="shared" si="1"/>
        <v>Match</v>
      </c>
      <c r="K118" s="2">
        <v>5</v>
      </c>
      <c r="L118" s="8">
        <v>230.17</v>
      </c>
      <c r="M118" s="9">
        <v>0.2</v>
      </c>
      <c r="N118" s="8">
        <v>920.68</v>
      </c>
      <c r="O118" s="2" t="s">
        <v>40</v>
      </c>
      <c r="P118" s="7" t="s">
        <v>31</v>
      </c>
      <c r="Q118" s="2" t="s">
        <v>306</v>
      </c>
      <c r="R118" s="2">
        <v>2</v>
      </c>
      <c r="S118" t="str">
        <f>IF(Table1[[#This Row],[Order Date]]&lt;Q118,"Yes","No")</f>
        <v>Yes</v>
      </c>
    </row>
    <row r="119" spans="1:19" ht="14.25" customHeight="1" x14ac:dyDescent="0.3">
      <c r="A119" s="2" t="s">
        <v>307</v>
      </c>
      <c r="B119" s="13">
        <v>45915</v>
      </c>
      <c r="C119" s="2" t="s">
        <v>308</v>
      </c>
      <c r="D119" s="3" t="s">
        <v>58</v>
      </c>
      <c r="E119" s="3" t="s">
        <v>28</v>
      </c>
      <c r="F119" s="2" t="s">
        <v>6</v>
      </c>
      <c r="G119" s="2" t="s">
        <v>7</v>
      </c>
      <c r="H119" s="7" t="s">
        <v>478</v>
      </c>
      <c r="I119" s="7" t="str" cm="1">
        <f t="array" ref="I119">_xlfn.SWITCH(H119,"ELEC","Electronics","BEAU","Beauty","HOME","Home &amp; Kitchen","FASH","Fashion")</f>
        <v>Electronics</v>
      </c>
      <c r="J119" s="7" t="str">
        <f t="shared" si="1"/>
        <v>Match</v>
      </c>
      <c r="K119" s="2">
        <v>7</v>
      </c>
      <c r="L119" s="8">
        <v>497.32</v>
      </c>
      <c r="M119" s="9">
        <v>0.1</v>
      </c>
      <c r="N119" s="8">
        <v>3133.12</v>
      </c>
      <c r="O119" s="2" t="s">
        <v>30</v>
      </c>
      <c r="P119" s="7" t="s">
        <v>14</v>
      </c>
      <c r="Q119" s="2" t="s">
        <v>209</v>
      </c>
      <c r="R119" s="2">
        <v>2</v>
      </c>
      <c r="S119" t="str">
        <f>IF(Table1[[#This Row],[Order Date]]&lt;Q119,"Yes","No")</f>
        <v>Yes</v>
      </c>
    </row>
    <row r="120" spans="1:19" ht="14.25" customHeight="1" x14ac:dyDescent="0.3">
      <c r="A120" s="2" t="s">
        <v>309</v>
      </c>
      <c r="B120" s="13">
        <v>45677</v>
      </c>
      <c r="C120" s="2" t="s">
        <v>310</v>
      </c>
      <c r="D120" s="3" t="s">
        <v>58</v>
      </c>
      <c r="E120" s="3" t="s">
        <v>5</v>
      </c>
      <c r="F120" s="2" t="s">
        <v>6</v>
      </c>
      <c r="G120" s="2" t="s">
        <v>49</v>
      </c>
      <c r="H120" s="7" t="s">
        <v>481</v>
      </c>
      <c r="I120" s="7" t="str" cm="1">
        <f t="array" ref="I120">_xlfn.SWITCH(H120,"ELEC","Electronics","BEAU","Beauty","HOME","Home &amp; Kitchen","FASH","Fashion")</f>
        <v>Fashion</v>
      </c>
      <c r="J120" s="7" t="str">
        <f t="shared" si="1"/>
        <v>Mismatch</v>
      </c>
      <c r="K120" s="2">
        <v>3</v>
      </c>
      <c r="L120" s="8">
        <v>381.83</v>
      </c>
      <c r="M120" s="9">
        <v>0.15</v>
      </c>
      <c r="N120" s="8">
        <v>973.67</v>
      </c>
      <c r="O120" s="2" t="s">
        <v>8</v>
      </c>
      <c r="P120" s="7" t="s">
        <v>45</v>
      </c>
      <c r="Q120" s="2" t="s">
        <v>311</v>
      </c>
      <c r="R120" s="2">
        <v>4</v>
      </c>
      <c r="S120" t="str">
        <f>IF(Table1[[#This Row],[Order Date]]&lt;Q120,"Yes","No")</f>
        <v>Yes</v>
      </c>
    </row>
    <row r="121" spans="1:19" ht="14.25" customHeight="1" x14ac:dyDescent="0.3">
      <c r="A121" s="2" t="s">
        <v>312</v>
      </c>
      <c r="B121" s="13">
        <v>45928</v>
      </c>
      <c r="C121" s="2" t="s">
        <v>134</v>
      </c>
      <c r="D121" s="3" t="s">
        <v>34</v>
      </c>
      <c r="E121" s="3" t="s">
        <v>35</v>
      </c>
      <c r="F121" s="2" t="s">
        <v>44</v>
      </c>
      <c r="G121" s="2" t="s">
        <v>29</v>
      </c>
      <c r="H121" s="7" t="s">
        <v>478</v>
      </c>
      <c r="I121" s="7" t="str" cm="1">
        <f t="array" ref="I121">_xlfn.SWITCH(H121,"ELEC","Electronics","BEAU","Beauty","HOME","Home &amp; Kitchen","FASH","Fashion")</f>
        <v>Electronics</v>
      </c>
      <c r="J121" s="7" t="str">
        <f t="shared" si="1"/>
        <v>Mismatch</v>
      </c>
      <c r="K121" s="2">
        <v>5</v>
      </c>
      <c r="L121" s="8">
        <v>126.44</v>
      </c>
      <c r="M121" s="9">
        <v>0</v>
      </c>
      <c r="N121" s="8">
        <v>632.20000000000005</v>
      </c>
      <c r="O121" s="2" t="s">
        <v>50</v>
      </c>
      <c r="P121" s="7" t="s">
        <v>67</v>
      </c>
      <c r="Q121" s="2" t="s">
        <v>159</v>
      </c>
      <c r="R121" s="2">
        <v>1</v>
      </c>
      <c r="S121" t="str">
        <f>IF(Table1[[#This Row],[Order Date]]&lt;Q121,"Yes","No")</f>
        <v>Yes</v>
      </c>
    </row>
    <row r="122" spans="1:19" ht="14.25" customHeight="1" x14ac:dyDescent="0.3">
      <c r="A122" s="2" t="s">
        <v>313</v>
      </c>
      <c r="B122" s="13">
        <v>45932</v>
      </c>
      <c r="C122" s="2" t="s">
        <v>314</v>
      </c>
      <c r="D122" s="3" t="s">
        <v>39</v>
      </c>
      <c r="E122" s="3" t="s">
        <v>11</v>
      </c>
      <c r="F122" s="2" t="s">
        <v>44</v>
      </c>
      <c r="G122" s="2" t="s">
        <v>13</v>
      </c>
      <c r="H122" s="7" t="s">
        <v>479</v>
      </c>
      <c r="I122" s="7" t="str" cm="1">
        <f t="array" ref="I122">_xlfn.SWITCH(H122,"ELEC","Electronics","BEAU","Beauty","HOME","Home &amp; Kitchen","FASH","Fashion")</f>
        <v>Beauty</v>
      </c>
      <c r="J122" s="7" t="str">
        <f t="shared" si="1"/>
        <v>Mismatch</v>
      </c>
      <c r="K122" s="2">
        <v>10</v>
      </c>
      <c r="L122" s="8">
        <v>128.55000000000001</v>
      </c>
      <c r="M122" s="9">
        <v>0.05</v>
      </c>
      <c r="N122" s="8">
        <v>1221.22</v>
      </c>
      <c r="O122" s="2" t="s">
        <v>8</v>
      </c>
      <c r="P122" s="7" t="s">
        <v>45</v>
      </c>
      <c r="Q122" s="2" t="s">
        <v>315</v>
      </c>
      <c r="S122" t="str">
        <f>IF(Table1[[#This Row],[Order Date]]&lt;Q122,"Yes","No")</f>
        <v>Yes</v>
      </c>
    </row>
    <row r="123" spans="1:19" ht="14.25" customHeight="1" x14ac:dyDescent="0.3">
      <c r="A123" s="2" t="s">
        <v>316</v>
      </c>
      <c r="B123" s="13">
        <v>45912</v>
      </c>
      <c r="C123" s="2" t="s">
        <v>299</v>
      </c>
      <c r="D123" s="3" t="s">
        <v>34</v>
      </c>
      <c r="E123" s="3" t="s">
        <v>35</v>
      </c>
      <c r="F123" s="2" t="s">
        <v>12</v>
      </c>
      <c r="G123" s="2" t="s">
        <v>13</v>
      </c>
      <c r="H123" s="7" t="s">
        <v>479</v>
      </c>
      <c r="I123" s="7" t="str" cm="1">
        <f t="array" ref="I123">_xlfn.SWITCH(H123,"ELEC","Electronics","BEAU","Beauty","HOME","Home &amp; Kitchen","FASH","Fashion")</f>
        <v>Beauty</v>
      </c>
      <c r="J123" s="7" t="str">
        <f t="shared" si="1"/>
        <v>Match</v>
      </c>
      <c r="K123" s="2">
        <v>6</v>
      </c>
      <c r="L123" s="8">
        <v>43.16</v>
      </c>
      <c r="M123" s="9">
        <v>0.2</v>
      </c>
      <c r="N123" s="8">
        <v>207.17</v>
      </c>
      <c r="O123" s="2" t="s">
        <v>40</v>
      </c>
      <c r="P123" s="7" t="s">
        <v>45</v>
      </c>
      <c r="Q123" s="2" t="s">
        <v>317</v>
      </c>
      <c r="R123" s="2">
        <v>5</v>
      </c>
      <c r="S123" t="str">
        <f>IF(Table1[[#This Row],[Order Date]]&lt;Q123,"Yes","No")</f>
        <v>Yes</v>
      </c>
    </row>
    <row r="124" spans="1:19" ht="14.25" customHeight="1" x14ac:dyDescent="0.3">
      <c r="A124" s="2" t="s">
        <v>318</v>
      </c>
      <c r="B124" s="13">
        <v>45695</v>
      </c>
      <c r="C124" s="2" t="s">
        <v>16</v>
      </c>
      <c r="D124" s="3" t="s">
        <v>23</v>
      </c>
      <c r="E124" s="3" t="s">
        <v>24</v>
      </c>
      <c r="F124" s="2" t="s">
        <v>6</v>
      </c>
      <c r="G124" s="2" t="s">
        <v>29</v>
      </c>
      <c r="H124" s="7" t="s">
        <v>478</v>
      </c>
      <c r="I124" s="7" t="str" cm="1">
        <f t="array" ref="I124">_xlfn.SWITCH(H124,"ELEC","Electronics","BEAU","Beauty","HOME","Home &amp; Kitchen","FASH","Fashion")</f>
        <v>Electronics</v>
      </c>
      <c r="J124" s="7" t="str">
        <f t="shared" si="1"/>
        <v>Match</v>
      </c>
      <c r="K124" s="2">
        <v>6</v>
      </c>
      <c r="L124" s="8">
        <v>128.15</v>
      </c>
      <c r="M124" s="9">
        <v>0</v>
      </c>
      <c r="N124" s="8">
        <v>768.9</v>
      </c>
      <c r="O124" s="2" t="s">
        <v>8</v>
      </c>
      <c r="P124" s="7" t="s">
        <v>53</v>
      </c>
      <c r="Q124" s="2" t="s">
        <v>319</v>
      </c>
      <c r="R124" s="2">
        <v>5</v>
      </c>
      <c r="S124" t="str">
        <f>IF(Table1[[#This Row],[Order Date]]&lt;Q124,"Yes","No")</f>
        <v>Yes</v>
      </c>
    </row>
    <row r="125" spans="1:19" ht="14.25" customHeight="1" x14ac:dyDescent="0.3">
      <c r="A125" s="2" t="s">
        <v>320</v>
      </c>
      <c r="B125" s="13">
        <v>46008</v>
      </c>
      <c r="C125" s="2" t="s">
        <v>57</v>
      </c>
      <c r="D125" s="3" t="s">
        <v>58</v>
      </c>
      <c r="E125" s="3" t="s">
        <v>28</v>
      </c>
      <c r="F125" s="2" t="s">
        <v>6</v>
      </c>
      <c r="G125" s="2" t="s">
        <v>49</v>
      </c>
      <c r="H125" s="7" t="s">
        <v>481</v>
      </c>
      <c r="I125" s="7" t="str" cm="1">
        <f t="array" ref="I125">_xlfn.SWITCH(H125,"ELEC","Electronics","BEAU","Beauty","HOME","Home &amp; Kitchen","FASH","Fashion")</f>
        <v>Fashion</v>
      </c>
      <c r="J125" s="7" t="str">
        <f t="shared" si="1"/>
        <v>Mismatch</v>
      </c>
      <c r="K125" s="2">
        <v>3</v>
      </c>
      <c r="L125" s="8">
        <v>407.63</v>
      </c>
      <c r="M125" s="9">
        <v>0</v>
      </c>
      <c r="N125" s="8">
        <v>1222.8900000000001</v>
      </c>
      <c r="O125" s="2" t="s">
        <v>8</v>
      </c>
      <c r="P125" s="7" t="s">
        <v>45</v>
      </c>
      <c r="Q125" s="2" t="s">
        <v>321</v>
      </c>
      <c r="R125" s="2">
        <v>4</v>
      </c>
      <c r="S125" t="str">
        <f>IF(Table1[[#This Row],[Order Date]]&lt;Q125,"Yes","No")</f>
        <v>Yes</v>
      </c>
    </row>
    <row r="126" spans="1:19" ht="14.25" customHeight="1" x14ac:dyDescent="0.3">
      <c r="A126" s="2" t="s">
        <v>322</v>
      </c>
      <c r="B126" s="13">
        <v>45861</v>
      </c>
      <c r="C126" s="2" t="s">
        <v>16</v>
      </c>
      <c r="D126" s="3" t="s">
        <v>23</v>
      </c>
      <c r="E126" s="3" t="s">
        <v>24</v>
      </c>
      <c r="F126" s="2" t="s">
        <v>12</v>
      </c>
      <c r="G126" s="2" t="s">
        <v>13</v>
      </c>
      <c r="H126" s="7" t="s">
        <v>479</v>
      </c>
      <c r="I126" s="7" t="str" cm="1">
        <f t="array" ref="I126">_xlfn.SWITCH(H126,"ELEC","Electronics","BEAU","Beauty","HOME","Home &amp; Kitchen","FASH","Fashion")</f>
        <v>Beauty</v>
      </c>
      <c r="J126" s="7" t="str">
        <f t="shared" si="1"/>
        <v>Match</v>
      </c>
      <c r="K126" s="2">
        <v>8</v>
      </c>
      <c r="L126" s="8">
        <v>134.12</v>
      </c>
      <c r="M126" s="9">
        <v>0.05</v>
      </c>
      <c r="N126" s="8">
        <v>1019.31</v>
      </c>
      <c r="O126" s="2" t="s">
        <v>8</v>
      </c>
      <c r="P126" s="7" t="s">
        <v>14</v>
      </c>
      <c r="Q126" s="2" t="s">
        <v>323</v>
      </c>
      <c r="R126" s="2">
        <v>3</v>
      </c>
      <c r="S126" t="str">
        <f>IF(Table1[[#This Row],[Order Date]]&lt;Q126,"Yes","No")</f>
        <v>Yes</v>
      </c>
    </row>
    <row r="127" spans="1:19" ht="14.25" customHeight="1" x14ac:dyDescent="0.3">
      <c r="A127" s="2" t="s">
        <v>324</v>
      </c>
      <c r="B127" s="13">
        <v>45999</v>
      </c>
      <c r="C127" s="2" t="s">
        <v>325</v>
      </c>
      <c r="D127" s="3" t="s">
        <v>39</v>
      </c>
      <c r="E127" s="3" t="s">
        <v>11</v>
      </c>
      <c r="F127" s="2" t="s">
        <v>12</v>
      </c>
      <c r="G127" s="2" t="s">
        <v>49</v>
      </c>
      <c r="H127" s="7" t="s">
        <v>481</v>
      </c>
      <c r="I127" s="7" t="str" cm="1">
        <f t="array" ref="I127">_xlfn.SWITCH(H127,"ELEC","Electronics","BEAU","Beauty","HOME","Home &amp; Kitchen","FASH","Fashion")</f>
        <v>Fashion</v>
      </c>
      <c r="J127" s="7" t="str">
        <f t="shared" si="1"/>
        <v>Mismatch</v>
      </c>
      <c r="K127" s="2">
        <v>7</v>
      </c>
      <c r="L127" s="8">
        <v>176.13</v>
      </c>
      <c r="M127" s="9">
        <v>0.05</v>
      </c>
      <c r="N127" s="8">
        <v>1171.26</v>
      </c>
      <c r="O127" s="2" t="s">
        <v>50</v>
      </c>
      <c r="P127" s="7" t="s">
        <v>31</v>
      </c>
      <c r="Q127" s="2" t="s">
        <v>326</v>
      </c>
      <c r="R127" s="2">
        <v>4</v>
      </c>
      <c r="S127" t="str">
        <f>IF(Table1[[#This Row],[Order Date]]&lt;Q127,"Yes","No")</f>
        <v>Yes</v>
      </c>
    </row>
    <row r="128" spans="1:19" ht="14.25" customHeight="1" x14ac:dyDescent="0.3">
      <c r="A128" s="2" t="s">
        <v>327</v>
      </c>
      <c r="B128" s="13">
        <v>45908</v>
      </c>
      <c r="C128" s="2" t="s">
        <v>328</v>
      </c>
      <c r="D128" s="3" t="s">
        <v>23</v>
      </c>
      <c r="E128" s="3" t="s">
        <v>24</v>
      </c>
      <c r="F128" s="2" t="s">
        <v>6</v>
      </c>
      <c r="G128" s="2" t="s">
        <v>7</v>
      </c>
      <c r="H128" s="7" t="s">
        <v>478</v>
      </c>
      <c r="I128" s="7" t="str" cm="1">
        <f t="array" ref="I128">_xlfn.SWITCH(H128,"ELEC","Electronics","BEAU","Beauty","HOME","Home &amp; Kitchen","FASH","Fashion")</f>
        <v>Electronics</v>
      </c>
      <c r="J128" s="7" t="str">
        <f t="shared" si="1"/>
        <v>Match</v>
      </c>
      <c r="K128" s="2">
        <v>-2</v>
      </c>
      <c r="L128" s="8">
        <v>153.94999999999999</v>
      </c>
      <c r="M128" s="9">
        <v>0</v>
      </c>
      <c r="N128" s="8">
        <v>-307.89999999999998</v>
      </c>
      <c r="O128" s="2" t="s">
        <v>8</v>
      </c>
      <c r="P128" s="7" t="s">
        <v>67</v>
      </c>
      <c r="Q128" s="2" t="s">
        <v>255</v>
      </c>
      <c r="R128" s="2">
        <v>1</v>
      </c>
      <c r="S128" t="str">
        <f>IF(Table1[[#This Row],[Order Date]]&lt;Q128,"Yes","No")</f>
        <v>Yes</v>
      </c>
    </row>
    <row r="129" spans="1:19" ht="14.25" customHeight="1" x14ac:dyDescent="0.3">
      <c r="A129" s="2" t="s">
        <v>329</v>
      </c>
      <c r="B129" s="13">
        <v>46011</v>
      </c>
      <c r="C129" s="2" t="s">
        <v>328</v>
      </c>
      <c r="D129" s="3" t="s">
        <v>39</v>
      </c>
      <c r="E129" s="3" t="s">
        <v>11</v>
      </c>
      <c r="F129" s="2" t="s">
        <v>44</v>
      </c>
      <c r="G129" s="2" t="s">
        <v>19</v>
      </c>
      <c r="H129" s="7" t="s">
        <v>480</v>
      </c>
      <c r="I129" s="7" t="str" cm="1">
        <f t="array" ref="I129">_xlfn.SWITCH(H129,"ELEC","Electronics","BEAU","Beauty","HOME","Home &amp; Kitchen","FASH","Fashion")</f>
        <v>Home &amp; Kitchen</v>
      </c>
      <c r="J129" s="7" t="str">
        <f t="shared" si="1"/>
        <v>Mismatch</v>
      </c>
      <c r="K129" s="2">
        <v>8</v>
      </c>
      <c r="L129" s="8">
        <v>30.75</v>
      </c>
      <c r="M129" s="9">
        <v>0.1</v>
      </c>
      <c r="N129" s="8">
        <v>221.4</v>
      </c>
      <c r="O129" s="2" t="s">
        <v>8</v>
      </c>
      <c r="P129" s="7" t="s">
        <v>45</v>
      </c>
      <c r="Q129" s="2" t="s">
        <v>330</v>
      </c>
      <c r="R129" s="2">
        <v>5</v>
      </c>
      <c r="S129" t="str">
        <f>IF(Table1[[#This Row],[Order Date]]&lt;Q129,"Yes","No")</f>
        <v>Yes</v>
      </c>
    </row>
    <row r="130" spans="1:19" ht="14.25" customHeight="1" x14ac:dyDescent="0.3">
      <c r="A130" s="2" t="s">
        <v>331</v>
      </c>
      <c r="B130" s="13">
        <v>45673</v>
      </c>
      <c r="C130" s="2" t="s">
        <v>128</v>
      </c>
      <c r="D130" s="3" t="s">
        <v>58</v>
      </c>
      <c r="E130" s="3" t="s">
        <v>28</v>
      </c>
      <c r="F130" s="2" t="s">
        <v>71</v>
      </c>
      <c r="G130" s="2" t="s">
        <v>13</v>
      </c>
      <c r="H130" s="7" t="s">
        <v>479</v>
      </c>
      <c r="I130" s="7" t="str" cm="1">
        <f t="array" ref="I130">_xlfn.SWITCH(H130,"ELEC","Electronics","BEAU","Beauty","HOME","Home &amp; Kitchen","FASH","Fashion")</f>
        <v>Beauty</v>
      </c>
      <c r="J130" s="7" t="str">
        <f t="shared" si="1"/>
        <v>Mismatch</v>
      </c>
      <c r="K130" s="2">
        <v>8</v>
      </c>
      <c r="L130" s="8">
        <v>27.05</v>
      </c>
      <c r="M130" s="9">
        <v>0</v>
      </c>
      <c r="N130" s="8">
        <v>216.4</v>
      </c>
      <c r="O130" s="2" t="s">
        <v>50</v>
      </c>
      <c r="P130" s="7" t="s">
        <v>45</v>
      </c>
      <c r="Q130" s="2" t="s">
        <v>332</v>
      </c>
      <c r="R130" s="2">
        <v>2</v>
      </c>
      <c r="S130" t="str">
        <f>IF(Table1[[#This Row],[Order Date]]&lt;Q130,"Yes","No")</f>
        <v>Yes</v>
      </c>
    </row>
    <row r="131" spans="1:19" ht="14.25" customHeight="1" x14ac:dyDescent="0.3">
      <c r="A131" s="2" t="s">
        <v>333</v>
      </c>
      <c r="B131" s="13">
        <v>45907</v>
      </c>
      <c r="C131" s="2" t="s">
        <v>334</v>
      </c>
      <c r="D131" s="3" t="s">
        <v>39</v>
      </c>
      <c r="E131" s="3" t="s">
        <v>11</v>
      </c>
      <c r="F131" s="2" t="s">
        <v>44</v>
      </c>
      <c r="G131" s="2" t="s">
        <v>49</v>
      </c>
      <c r="H131" s="7" t="s">
        <v>481</v>
      </c>
      <c r="I131" s="7" t="str" cm="1">
        <f t="array" ref="I131">_xlfn.SWITCH(H131,"ELEC","Electronics","BEAU","Beauty","HOME","Home &amp; Kitchen","FASH","Fashion")</f>
        <v>Fashion</v>
      </c>
      <c r="J131" s="7" t="str">
        <f t="shared" ref="J131:J192" si="2">IF(I131=F131,"Match","Mismatch")</f>
        <v>Match</v>
      </c>
      <c r="K131" s="2">
        <v>2</v>
      </c>
      <c r="L131" s="8">
        <v>291.22000000000003</v>
      </c>
      <c r="M131" s="9">
        <v>0.2</v>
      </c>
      <c r="N131" s="8">
        <v>465.95</v>
      </c>
      <c r="O131" s="2" t="s">
        <v>8</v>
      </c>
      <c r="P131" s="7" t="s">
        <v>45</v>
      </c>
      <c r="Q131" s="2" t="s">
        <v>319</v>
      </c>
      <c r="R131" s="2">
        <v>3</v>
      </c>
      <c r="S131" t="str">
        <f>IF(Table1[[#This Row],[Order Date]]&lt;Q131,"Yes","No")</f>
        <v>Yes</v>
      </c>
    </row>
    <row r="132" spans="1:19" ht="14.25" customHeight="1" x14ac:dyDescent="0.3">
      <c r="A132" s="2" t="s">
        <v>335</v>
      </c>
      <c r="B132" s="13">
        <v>45913</v>
      </c>
      <c r="C132" s="2" t="s">
        <v>336</v>
      </c>
      <c r="D132" s="3" t="s">
        <v>34</v>
      </c>
      <c r="E132" s="3" t="s">
        <v>35</v>
      </c>
      <c r="F132" s="2" t="s">
        <v>6</v>
      </c>
      <c r="G132" s="2" t="s">
        <v>49</v>
      </c>
      <c r="H132" s="7" t="s">
        <v>481</v>
      </c>
      <c r="I132" s="7" t="str" cm="1">
        <f t="array" ref="I132">_xlfn.SWITCH(H132,"ELEC","Electronics","BEAU","Beauty","HOME","Home &amp; Kitchen","FASH","Fashion")</f>
        <v>Fashion</v>
      </c>
      <c r="J132" s="7" t="str">
        <f t="shared" si="2"/>
        <v>Mismatch</v>
      </c>
      <c r="K132" s="2">
        <v>0</v>
      </c>
      <c r="L132" s="8">
        <v>67.7</v>
      </c>
      <c r="M132" s="9">
        <v>0.1</v>
      </c>
      <c r="N132" s="8">
        <v>0</v>
      </c>
      <c r="O132" s="2" t="s">
        <v>30</v>
      </c>
      <c r="P132" s="7" t="s">
        <v>67</v>
      </c>
      <c r="Q132" s="2" t="s">
        <v>337</v>
      </c>
      <c r="R132" s="2">
        <v>4</v>
      </c>
      <c r="S132" t="str">
        <f>IF(Table1[[#This Row],[Order Date]]&lt;Q132,"Yes","No")</f>
        <v>Yes</v>
      </c>
    </row>
    <row r="133" spans="1:19" ht="14.25" customHeight="1" x14ac:dyDescent="0.3">
      <c r="A133" s="2" t="s">
        <v>338</v>
      </c>
      <c r="B133" s="13">
        <v>45889</v>
      </c>
      <c r="C133" s="2" t="s">
        <v>339</v>
      </c>
      <c r="D133" s="3" t="s">
        <v>58</v>
      </c>
      <c r="E133" s="3" t="s">
        <v>28</v>
      </c>
      <c r="F133" s="2" t="s">
        <v>44</v>
      </c>
      <c r="G133" s="2" t="s">
        <v>49</v>
      </c>
      <c r="H133" s="7" t="s">
        <v>481</v>
      </c>
      <c r="I133" s="7" t="str" cm="1">
        <f t="array" ref="I133">_xlfn.SWITCH(H133,"ELEC","Electronics","BEAU","Beauty","HOME","Home &amp; Kitchen","FASH","Fashion")</f>
        <v>Fashion</v>
      </c>
      <c r="J133" s="7" t="str">
        <f t="shared" si="2"/>
        <v>Match</v>
      </c>
      <c r="K133" s="2">
        <v>2</v>
      </c>
      <c r="L133" s="8">
        <v>407.15</v>
      </c>
      <c r="M133" s="9">
        <v>0.1</v>
      </c>
      <c r="N133" s="8">
        <v>732.87</v>
      </c>
      <c r="O133" s="2" t="s">
        <v>8</v>
      </c>
      <c r="P133" s="7" t="s">
        <v>31</v>
      </c>
      <c r="Q133" s="2" t="s">
        <v>340</v>
      </c>
      <c r="R133" s="2">
        <v>3</v>
      </c>
      <c r="S133" t="str">
        <f>IF(Table1[[#This Row],[Order Date]]&lt;Q133,"Yes","No")</f>
        <v>Yes</v>
      </c>
    </row>
    <row r="134" spans="1:19" ht="14.25" customHeight="1" x14ac:dyDescent="0.3">
      <c r="A134" s="2" t="s">
        <v>341</v>
      </c>
      <c r="B134" s="14">
        <v>45658</v>
      </c>
      <c r="C134" s="2" t="s">
        <v>342</v>
      </c>
      <c r="D134" s="3" t="s">
        <v>34</v>
      </c>
      <c r="E134" s="3" t="s">
        <v>35</v>
      </c>
      <c r="F134" s="2" t="s">
        <v>71</v>
      </c>
      <c r="G134" s="2" t="s">
        <v>19</v>
      </c>
      <c r="H134" s="7" t="s">
        <v>480</v>
      </c>
      <c r="I134" s="7" t="str" cm="1">
        <f t="array" ref="I134">_xlfn.SWITCH(H134,"ELEC","Electronics","BEAU","Beauty","HOME","Home &amp; Kitchen","FASH","Fashion")</f>
        <v>Home &amp; Kitchen</v>
      </c>
      <c r="J134" s="7" t="str">
        <f t="shared" si="2"/>
        <v>Match</v>
      </c>
      <c r="K134" s="2">
        <v>9</v>
      </c>
      <c r="L134" s="8">
        <v>119.88</v>
      </c>
      <c r="M134" s="9">
        <v>1.5</v>
      </c>
      <c r="N134" s="8">
        <v>-539.46</v>
      </c>
      <c r="O134" s="2" t="s">
        <v>8</v>
      </c>
      <c r="P134" s="7" t="s">
        <v>31</v>
      </c>
      <c r="Q134" s="2" t="s">
        <v>287</v>
      </c>
      <c r="R134" s="2">
        <v>2</v>
      </c>
      <c r="S134" t="str">
        <f>IF(Table1[[#This Row],[Order Date]]&lt;Q134,"Yes","No")</f>
        <v>Yes</v>
      </c>
    </row>
    <row r="135" spans="1:19" ht="14.25" customHeight="1" x14ac:dyDescent="0.3">
      <c r="A135" s="2" t="s">
        <v>343</v>
      </c>
      <c r="B135" s="13">
        <v>45940</v>
      </c>
      <c r="C135" s="2" t="s">
        <v>344</v>
      </c>
      <c r="D135" s="3" t="s">
        <v>39</v>
      </c>
      <c r="E135" s="3" t="s">
        <v>11</v>
      </c>
      <c r="F135" s="2" t="s">
        <v>71</v>
      </c>
      <c r="G135" s="2" t="s">
        <v>13</v>
      </c>
      <c r="H135" s="7" t="s">
        <v>479</v>
      </c>
      <c r="I135" s="7" t="str" cm="1">
        <f t="array" ref="I135">_xlfn.SWITCH(H135,"ELEC","Electronics","BEAU","Beauty","HOME","Home &amp; Kitchen","FASH","Fashion")</f>
        <v>Beauty</v>
      </c>
      <c r="J135" s="7" t="str">
        <f t="shared" si="2"/>
        <v>Mismatch</v>
      </c>
      <c r="K135" s="2">
        <v>2</v>
      </c>
      <c r="L135" s="8">
        <v>42.22</v>
      </c>
      <c r="M135" s="9">
        <v>0.15</v>
      </c>
      <c r="N135" s="8">
        <v>71.77</v>
      </c>
      <c r="O135" s="2" t="s">
        <v>50</v>
      </c>
      <c r="P135" s="7" t="s">
        <v>45</v>
      </c>
      <c r="Q135" s="2" t="s">
        <v>36</v>
      </c>
      <c r="R135" s="2">
        <v>4</v>
      </c>
      <c r="S135" t="str">
        <f>IF(Table1[[#This Row],[Order Date]]&lt;Q135,"Yes","No")</f>
        <v>Yes</v>
      </c>
    </row>
    <row r="136" spans="1:19" ht="14.25" customHeight="1" x14ac:dyDescent="0.3">
      <c r="A136" s="2" t="s">
        <v>345</v>
      </c>
      <c r="B136" s="13">
        <v>45888</v>
      </c>
      <c r="C136" s="2" t="s">
        <v>280</v>
      </c>
      <c r="D136" s="3" t="s">
        <v>39</v>
      </c>
      <c r="E136" s="3" t="s">
        <v>11</v>
      </c>
      <c r="F136" s="2" t="s">
        <v>6</v>
      </c>
      <c r="G136" s="2" t="s">
        <v>13</v>
      </c>
      <c r="H136" s="7" t="s">
        <v>479</v>
      </c>
      <c r="I136" s="7" t="str" cm="1">
        <f t="array" ref="I136">_xlfn.SWITCH(H136,"ELEC","Electronics","BEAU","Beauty","HOME","Home &amp; Kitchen","FASH","Fashion")</f>
        <v>Beauty</v>
      </c>
      <c r="J136" s="7" t="str">
        <f t="shared" si="2"/>
        <v>Mismatch</v>
      </c>
      <c r="K136" s="2">
        <v>6</v>
      </c>
      <c r="L136" s="8">
        <v>72.88</v>
      </c>
      <c r="M136" s="9">
        <v>0.2</v>
      </c>
      <c r="N136" s="8">
        <v>349.82</v>
      </c>
      <c r="O136" s="2" t="s">
        <v>40</v>
      </c>
      <c r="P136" s="7" t="s">
        <v>53</v>
      </c>
      <c r="Q136" s="2" t="s">
        <v>346</v>
      </c>
      <c r="R136" s="2">
        <v>5</v>
      </c>
      <c r="S136" t="str">
        <f>IF(Table1[[#This Row],[Order Date]]&lt;Q136,"Yes","No")</f>
        <v>Yes</v>
      </c>
    </row>
    <row r="137" spans="1:19" ht="14.25" customHeight="1" x14ac:dyDescent="0.3">
      <c r="A137" s="2" t="s">
        <v>347</v>
      </c>
      <c r="B137" s="13">
        <v>45736</v>
      </c>
      <c r="C137" s="2" t="s">
        <v>48</v>
      </c>
      <c r="D137" s="3" t="s">
        <v>17</v>
      </c>
      <c r="E137" s="3" t="s">
        <v>18</v>
      </c>
      <c r="F137" s="2" t="s">
        <v>6</v>
      </c>
      <c r="G137" s="2" t="s">
        <v>7</v>
      </c>
      <c r="H137" s="7" t="s">
        <v>478</v>
      </c>
      <c r="I137" s="7" t="str" cm="1">
        <f t="array" ref="I137">_xlfn.SWITCH(H137,"ELEC","Electronics","BEAU","Beauty","HOME","Home &amp; Kitchen","FASH","Fashion")</f>
        <v>Electronics</v>
      </c>
      <c r="J137" s="7" t="str">
        <f t="shared" si="2"/>
        <v>Match</v>
      </c>
      <c r="K137" s="2">
        <v>3</v>
      </c>
      <c r="L137" s="8">
        <v>168.1</v>
      </c>
      <c r="M137" s="9">
        <v>0.05</v>
      </c>
      <c r="N137" s="8">
        <v>479.08</v>
      </c>
      <c r="O137" s="2" t="s">
        <v>8</v>
      </c>
      <c r="P137" s="7" t="s">
        <v>45</v>
      </c>
      <c r="R137" s="2">
        <v>3</v>
      </c>
      <c r="S137" t="str">
        <f>IF(Table1[[#This Row],[Order Date]]&lt;Q137,"Yes","No")</f>
        <v>No</v>
      </c>
    </row>
    <row r="138" spans="1:19" ht="14.25" customHeight="1" x14ac:dyDescent="0.3">
      <c r="A138" s="2" t="s">
        <v>348</v>
      </c>
      <c r="B138" s="13">
        <v>45783</v>
      </c>
      <c r="C138" s="2" t="s">
        <v>466</v>
      </c>
      <c r="D138" s="3" t="s">
        <v>58</v>
      </c>
      <c r="E138" s="3" t="s">
        <v>183</v>
      </c>
      <c r="F138" s="2" t="s">
        <v>44</v>
      </c>
      <c r="G138" s="2" t="s">
        <v>13</v>
      </c>
      <c r="H138" s="7" t="s">
        <v>479</v>
      </c>
      <c r="I138" s="7" t="str" cm="1">
        <f t="array" ref="I138">_xlfn.SWITCH(H138,"ELEC","Electronics","BEAU","Beauty","HOME","Home &amp; Kitchen","FASH","Fashion")</f>
        <v>Beauty</v>
      </c>
      <c r="J138" s="7" t="str">
        <f t="shared" si="2"/>
        <v>Mismatch</v>
      </c>
      <c r="K138" s="2">
        <v>2</v>
      </c>
      <c r="L138" s="8">
        <v>256.26</v>
      </c>
      <c r="M138" s="9">
        <v>0.05</v>
      </c>
      <c r="N138" s="8">
        <v>486.89</v>
      </c>
      <c r="O138" s="2" t="s">
        <v>50</v>
      </c>
      <c r="P138" s="7" t="s">
        <v>14</v>
      </c>
      <c r="Q138" s="2" t="s">
        <v>349</v>
      </c>
      <c r="R138" s="2">
        <v>5</v>
      </c>
      <c r="S138" t="str">
        <f>IF(Table1[[#This Row],[Order Date]]&lt;Q138,"Yes","No")</f>
        <v>Yes</v>
      </c>
    </row>
    <row r="139" spans="1:19" ht="14.25" customHeight="1" x14ac:dyDescent="0.3">
      <c r="A139" s="2" t="s">
        <v>350</v>
      </c>
      <c r="B139" s="13">
        <v>45672</v>
      </c>
      <c r="C139" s="2" t="s">
        <v>351</v>
      </c>
      <c r="D139" s="3" t="s">
        <v>17</v>
      </c>
      <c r="E139" s="3" t="s">
        <v>18</v>
      </c>
      <c r="F139" s="2" t="s">
        <v>44</v>
      </c>
      <c r="G139" s="2" t="s">
        <v>29</v>
      </c>
      <c r="H139" s="7" t="s">
        <v>478</v>
      </c>
      <c r="I139" s="7" t="str" cm="1">
        <f t="array" ref="I139">_xlfn.SWITCH(H139,"ELEC","Electronics","BEAU","Beauty","HOME","Home &amp; Kitchen","FASH","Fashion")</f>
        <v>Electronics</v>
      </c>
      <c r="J139" s="7" t="str">
        <f t="shared" si="2"/>
        <v>Mismatch</v>
      </c>
      <c r="K139" s="2">
        <v>10</v>
      </c>
      <c r="L139" s="8">
        <v>139.68</v>
      </c>
      <c r="M139" s="9">
        <v>0.05</v>
      </c>
      <c r="N139" s="8">
        <v>1326.96</v>
      </c>
      <c r="O139" s="2" t="s">
        <v>8</v>
      </c>
      <c r="P139" s="7" t="s">
        <v>67</v>
      </c>
      <c r="Q139" s="2" t="s">
        <v>352</v>
      </c>
      <c r="R139" s="2">
        <v>5</v>
      </c>
      <c r="S139" t="str">
        <f>IF(Table1[[#This Row],[Order Date]]&lt;Q139,"Yes","No")</f>
        <v>Yes</v>
      </c>
    </row>
    <row r="140" spans="1:19" ht="14.25" customHeight="1" x14ac:dyDescent="0.3">
      <c r="A140" s="2" t="s">
        <v>353</v>
      </c>
      <c r="B140" s="13">
        <v>45786</v>
      </c>
      <c r="C140" s="2" t="s">
        <v>217</v>
      </c>
      <c r="D140" s="3" t="s">
        <v>34</v>
      </c>
      <c r="E140" s="3" t="s">
        <v>35</v>
      </c>
      <c r="F140" s="2" t="s">
        <v>71</v>
      </c>
      <c r="G140" s="2" t="s">
        <v>49</v>
      </c>
      <c r="H140" s="7" t="s">
        <v>481</v>
      </c>
      <c r="I140" s="7" t="str" cm="1">
        <f t="array" ref="I140">_xlfn.SWITCH(H140,"ELEC","Electronics","BEAU","Beauty","HOME","Home &amp; Kitchen","FASH","Fashion")</f>
        <v>Fashion</v>
      </c>
      <c r="J140" s="7" t="str">
        <f t="shared" si="2"/>
        <v>Mismatch</v>
      </c>
      <c r="K140" s="2">
        <v>5</v>
      </c>
      <c r="L140" s="8">
        <v>232.24</v>
      </c>
      <c r="M140" s="9">
        <v>0</v>
      </c>
      <c r="N140" s="8">
        <v>1161.2</v>
      </c>
      <c r="O140" s="2" t="s">
        <v>40</v>
      </c>
      <c r="P140" s="7" t="s">
        <v>45</v>
      </c>
      <c r="Q140" s="2" t="s">
        <v>354</v>
      </c>
      <c r="R140" s="2">
        <v>2</v>
      </c>
      <c r="S140" t="str">
        <f>IF(Table1[[#This Row],[Order Date]]&lt;Q140,"Yes","No")</f>
        <v>Yes</v>
      </c>
    </row>
    <row r="141" spans="1:19" ht="14.25" customHeight="1" x14ac:dyDescent="0.3">
      <c r="A141" s="2" t="s">
        <v>355</v>
      </c>
      <c r="B141" s="13">
        <v>45821</v>
      </c>
      <c r="C141" s="2" t="s">
        <v>356</v>
      </c>
      <c r="D141" s="3" t="s">
        <v>58</v>
      </c>
      <c r="E141" s="3" t="s">
        <v>28</v>
      </c>
      <c r="F141" s="2" t="s">
        <v>6</v>
      </c>
      <c r="G141" s="2" t="s">
        <v>19</v>
      </c>
      <c r="H141" s="7" t="s">
        <v>480</v>
      </c>
      <c r="I141" s="7" t="str" cm="1">
        <f t="array" ref="I141">_xlfn.SWITCH(H141,"ELEC","Electronics","BEAU","Beauty","HOME","Home &amp; Kitchen","FASH","Fashion")</f>
        <v>Home &amp; Kitchen</v>
      </c>
      <c r="J141" s="7" t="str">
        <f t="shared" si="2"/>
        <v>Mismatch</v>
      </c>
      <c r="K141" s="2">
        <v>7</v>
      </c>
      <c r="L141" s="8">
        <v>74.08</v>
      </c>
      <c r="M141" s="9">
        <v>0.1</v>
      </c>
      <c r="N141" s="8">
        <v>466.7</v>
      </c>
      <c r="O141" s="2" t="s">
        <v>40</v>
      </c>
      <c r="P141" s="7" t="s">
        <v>45</v>
      </c>
      <c r="Q141" s="2" t="s">
        <v>357</v>
      </c>
      <c r="R141" s="2">
        <v>5</v>
      </c>
      <c r="S141" t="str">
        <f>IF(Table1[[#This Row],[Order Date]]&lt;Q141,"Yes","No")</f>
        <v>Yes</v>
      </c>
    </row>
    <row r="142" spans="1:19" ht="14.25" customHeight="1" x14ac:dyDescent="0.3">
      <c r="A142" s="2" t="s">
        <v>358</v>
      </c>
      <c r="B142" s="13">
        <v>45707</v>
      </c>
      <c r="C142" s="2" t="s">
        <v>465</v>
      </c>
      <c r="D142" s="3" t="s">
        <v>58</v>
      </c>
      <c r="E142" s="3" t="s">
        <v>5</v>
      </c>
      <c r="F142" s="2" t="s">
        <v>6</v>
      </c>
      <c r="G142" s="2" t="s">
        <v>19</v>
      </c>
      <c r="H142" s="7" t="s">
        <v>480</v>
      </c>
      <c r="I142" s="7" t="str" cm="1">
        <f t="array" ref="I142">_xlfn.SWITCH(H142,"ELEC","Electronics","BEAU","Beauty","HOME","Home &amp; Kitchen","FASH","Fashion")</f>
        <v>Home &amp; Kitchen</v>
      </c>
      <c r="J142" s="7" t="str">
        <f t="shared" si="2"/>
        <v>Mismatch</v>
      </c>
      <c r="K142" s="2">
        <v>7</v>
      </c>
      <c r="L142" s="8">
        <v>433.44</v>
      </c>
      <c r="M142" s="9">
        <v>0.15</v>
      </c>
      <c r="N142" s="8">
        <v>2578.9699999999998</v>
      </c>
      <c r="O142" s="2" t="s">
        <v>50</v>
      </c>
      <c r="P142" s="7" t="s">
        <v>14</v>
      </c>
      <c r="Q142" s="2" t="s">
        <v>359</v>
      </c>
      <c r="S142" t="str">
        <f>IF(Table1[[#This Row],[Order Date]]&lt;Q142,"Yes","No")</f>
        <v>Yes</v>
      </c>
    </row>
    <row r="143" spans="1:19" ht="14.25" customHeight="1" x14ac:dyDescent="0.3">
      <c r="A143" s="2" t="s">
        <v>360</v>
      </c>
      <c r="B143" s="13">
        <v>45921</v>
      </c>
      <c r="C143" s="2" t="s">
        <v>361</v>
      </c>
      <c r="D143" s="3" t="s">
        <v>39</v>
      </c>
      <c r="E143" s="3" t="s">
        <v>11</v>
      </c>
      <c r="F143" s="2" t="s">
        <v>6</v>
      </c>
      <c r="G143" s="2" t="s">
        <v>49</v>
      </c>
      <c r="H143" s="7" t="s">
        <v>481</v>
      </c>
      <c r="I143" s="7" t="str" cm="1">
        <f t="array" ref="I143">_xlfn.SWITCH(H143,"ELEC","Electronics","BEAU","Beauty","HOME","Home &amp; Kitchen","FASH","Fashion")</f>
        <v>Fashion</v>
      </c>
      <c r="J143" s="7" t="str">
        <f t="shared" si="2"/>
        <v>Mismatch</v>
      </c>
      <c r="K143" s="2">
        <v>5</v>
      </c>
      <c r="L143" s="8">
        <v>253.71</v>
      </c>
      <c r="M143" s="9">
        <v>0</v>
      </c>
      <c r="N143" s="8">
        <v>1268.55</v>
      </c>
      <c r="O143" s="2" t="s">
        <v>50</v>
      </c>
      <c r="P143" s="7" t="s">
        <v>31</v>
      </c>
      <c r="Q143" s="2" t="s">
        <v>362</v>
      </c>
      <c r="R143" s="2">
        <v>4</v>
      </c>
      <c r="S143" t="str">
        <f>IF(Table1[[#This Row],[Order Date]]&lt;Q143,"Yes","No")</f>
        <v>Yes</v>
      </c>
    </row>
    <row r="144" spans="1:19" ht="14.25" customHeight="1" x14ac:dyDescent="0.3">
      <c r="A144" s="2" t="s">
        <v>363</v>
      </c>
      <c r="B144" s="13">
        <v>45699</v>
      </c>
      <c r="C144" s="2" t="s">
        <v>364</v>
      </c>
      <c r="D144" s="3" t="s">
        <v>58</v>
      </c>
      <c r="E144" s="3" t="s">
        <v>28</v>
      </c>
      <c r="F144" s="2" t="s">
        <v>44</v>
      </c>
      <c r="G144" s="2" t="s">
        <v>49</v>
      </c>
      <c r="H144" s="7" t="s">
        <v>481</v>
      </c>
      <c r="I144" s="7" t="str" cm="1">
        <f t="array" ref="I144">_xlfn.SWITCH(H144,"ELEC","Electronics","BEAU","Beauty","HOME","Home &amp; Kitchen","FASH","Fashion")</f>
        <v>Fashion</v>
      </c>
      <c r="J144" s="7" t="str">
        <f t="shared" si="2"/>
        <v>Match</v>
      </c>
      <c r="K144" s="2">
        <v>5</v>
      </c>
      <c r="L144" s="8">
        <v>272.98</v>
      </c>
      <c r="M144" s="9">
        <v>0</v>
      </c>
      <c r="N144" s="8">
        <v>1364.9</v>
      </c>
      <c r="O144" s="2" t="s">
        <v>8</v>
      </c>
      <c r="P144" s="7" t="s">
        <v>67</v>
      </c>
      <c r="Q144" s="2" t="s">
        <v>365</v>
      </c>
      <c r="R144" s="2">
        <v>4</v>
      </c>
      <c r="S144" t="str">
        <f>IF(Table1[[#This Row],[Order Date]]&lt;Q144,"Yes","No")</f>
        <v>Yes</v>
      </c>
    </row>
    <row r="145" spans="1:19" ht="14.25" customHeight="1" x14ac:dyDescent="0.3">
      <c r="A145" s="2" t="s">
        <v>366</v>
      </c>
      <c r="B145" s="13">
        <v>45949</v>
      </c>
      <c r="C145" s="2" t="s">
        <v>367</v>
      </c>
      <c r="D145" s="3" t="s">
        <v>39</v>
      </c>
      <c r="E145" s="3" t="s">
        <v>11</v>
      </c>
      <c r="F145" s="2" t="s">
        <v>44</v>
      </c>
      <c r="G145" s="2" t="s">
        <v>7</v>
      </c>
      <c r="H145" s="7" t="s">
        <v>478</v>
      </c>
      <c r="I145" s="7" t="str" cm="1">
        <f t="array" ref="I145">_xlfn.SWITCH(H145,"ELEC","Electronics","BEAU","Beauty","HOME","Home &amp; Kitchen","FASH","Fashion")</f>
        <v>Electronics</v>
      </c>
      <c r="J145" s="7" t="str">
        <f t="shared" si="2"/>
        <v>Mismatch</v>
      </c>
      <c r="K145" s="2">
        <v>6</v>
      </c>
      <c r="L145" s="8">
        <v>281.08</v>
      </c>
      <c r="M145" s="9">
        <v>0</v>
      </c>
      <c r="N145" s="8">
        <v>1686.48</v>
      </c>
      <c r="O145" s="2" t="s">
        <v>8</v>
      </c>
      <c r="P145" s="7" t="s">
        <v>53</v>
      </c>
      <c r="Q145" s="2" t="s">
        <v>368</v>
      </c>
      <c r="R145" s="2">
        <v>4</v>
      </c>
      <c r="S145" t="str">
        <f>IF(Table1[[#This Row],[Order Date]]&lt;Q145,"Yes","No")</f>
        <v>Yes</v>
      </c>
    </row>
    <row r="146" spans="1:19" ht="14.25" customHeight="1" x14ac:dyDescent="0.3">
      <c r="A146" s="2" t="s">
        <v>369</v>
      </c>
      <c r="B146" s="13">
        <v>45859</v>
      </c>
      <c r="C146" s="2" t="s">
        <v>339</v>
      </c>
      <c r="D146" s="3" t="s">
        <v>39</v>
      </c>
      <c r="E146" s="3" t="s">
        <v>11</v>
      </c>
      <c r="F146" s="2" t="s">
        <v>6</v>
      </c>
      <c r="G146" s="2" t="s">
        <v>19</v>
      </c>
      <c r="H146" s="7" t="s">
        <v>480</v>
      </c>
      <c r="I146" s="7" t="str" cm="1">
        <f t="array" ref="I146">_xlfn.SWITCH(H146,"ELEC","Electronics","BEAU","Beauty","HOME","Home &amp; Kitchen","FASH","Fashion")</f>
        <v>Home &amp; Kitchen</v>
      </c>
      <c r="J146" s="7" t="str">
        <f t="shared" si="2"/>
        <v>Mismatch</v>
      </c>
      <c r="K146" s="2">
        <v>-2</v>
      </c>
      <c r="L146" s="8">
        <v>470.08</v>
      </c>
      <c r="M146" s="9">
        <v>0.05</v>
      </c>
      <c r="N146" s="8">
        <v>-893.15</v>
      </c>
      <c r="O146" s="2" t="s">
        <v>8</v>
      </c>
      <c r="P146" s="7" t="s">
        <v>45</v>
      </c>
      <c r="Q146" s="2" t="s">
        <v>370</v>
      </c>
      <c r="R146" s="2">
        <v>8</v>
      </c>
      <c r="S146" t="str">
        <f>IF(Table1[[#This Row],[Order Date]]&lt;Q146,"Yes","No")</f>
        <v>Yes</v>
      </c>
    </row>
    <row r="147" spans="1:19" ht="14.25" customHeight="1" x14ac:dyDescent="0.3">
      <c r="A147" s="2" t="s">
        <v>371</v>
      </c>
      <c r="B147" s="13">
        <v>45923</v>
      </c>
      <c r="C147" s="2" t="s">
        <v>229</v>
      </c>
      <c r="D147" s="3" t="s">
        <v>23</v>
      </c>
      <c r="E147" s="3" t="s">
        <v>24</v>
      </c>
      <c r="F147" s="2" t="s">
        <v>71</v>
      </c>
      <c r="G147" s="2" t="s">
        <v>7</v>
      </c>
      <c r="H147" s="7" t="s">
        <v>478</v>
      </c>
      <c r="I147" s="7" t="str" cm="1">
        <f t="array" ref="I147">_xlfn.SWITCH(H147,"ELEC","Electronics","BEAU","Beauty","HOME","Home &amp; Kitchen","FASH","Fashion")</f>
        <v>Electronics</v>
      </c>
      <c r="J147" s="7" t="str">
        <f t="shared" si="2"/>
        <v>Mismatch</v>
      </c>
      <c r="K147" s="2">
        <v>10</v>
      </c>
      <c r="L147" s="8">
        <v>447.63</v>
      </c>
      <c r="M147" s="9">
        <v>0.05</v>
      </c>
      <c r="N147" s="8">
        <v>4252.4799999999996</v>
      </c>
      <c r="O147" s="2" t="s">
        <v>50</v>
      </c>
      <c r="P147" s="7" t="s">
        <v>14</v>
      </c>
      <c r="Q147" s="2" t="s">
        <v>372</v>
      </c>
      <c r="R147" s="2">
        <v>3</v>
      </c>
      <c r="S147" t="str">
        <f>IF(Table1[[#This Row],[Order Date]]&lt;Q147,"Yes","No")</f>
        <v>Yes</v>
      </c>
    </row>
    <row r="148" spans="1:19" ht="14.25" customHeight="1" x14ac:dyDescent="0.3">
      <c r="A148" s="2" t="s">
        <v>373</v>
      </c>
      <c r="B148" s="13">
        <v>45918</v>
      </c>
      <c r="C148" s="2" t="s">
        <v>344</v>
      </c>
      <c r="D148" s="3" t="s">
        <v>23</v>
      </c>
      <c r="E148" s="3" t="s">
        <v>24</v>
      </c>
      <c r="F148" s="2" t="s">
        <v>6</v>
      </c>
      <c r="G148" s="2" t="s">
        <v>49</v>
      </c>
      <c r="H148" s="7" t="s">
        <v>481</v>
      </c>
      <c r="I148" s="7" t="str" cm="1">
        <f t="array" ref="I148">_xlfn.SWITCH(H148,"ELEC","Electronics","BEAU","Beauty","HOME","Home &amp; Kitchen","FASH","Fashion")</f>
        <v>Fashion</v>
      </c>
      <c r="J148" s="7" t="str">
        <f t="shared" si="2"/>
        <v>Mismatch</v>
      </c>
      <c r="K148" s="2">
        <v>10</v>
      </c>
      <c r="L148" s="8">
        <v>156.9</v>
      </c>
      <c r="M148" s="9">
        <v>0</v>
      </c>
      <c r="N148" s="8">
        <v>1569</v>
      </c>
      <c r="O148" s="2" t="s">
        <v>40</v>
      </c>
      <c r="P148" s="7" t="s">
        <v>53</v>
      </c>
      <c r="Q148" s="2" t="s">
        <v>374</v>
      </c>
      <c r="R148" s="2">
        <v>3</v>
      </c>
      <c r="S148" t="str">
        <f>IF(Table1[[#This Row],[Order Date]]&lt;Q148,"Yes","No")</f>
        <v>Yes</v>
      </c>
    </row>
    <row r="149" spans="1:19" ht="14.25" customHeight="1" x14ac:dyDescent="0.3">
      <c r="A149" s="2" t="s">
        <v>375</v>
      </c>
      <c r="B149" s="13">
        <v>45671</v>
      </c>
      <c r="C149" s="2" t="s">
        <v>376</v>
      </c>
      <c r="D149" s="3" t="s">
        <v>17</v>
      </c>
      <c r="E149" s="3" t="s">
        <v>18</v>
      </c>
      <c r="F149" s="2" t="s">
        <v>6</v>
      </c>
      <c r="G149" s="2" t="s">
        <v>49</v>
      </c>
      <c r="H149" s="7" t="s">
        <v>481</v>
      </c>
      <c r="I149" s="7" t="str" cm="1">
        <f t="array" ref="I149">_xlfn.SWITCH(H149,"ELEC","Electronics","BEAU","Beauty","HOME","Home &amp; Kitchen","FASH","Fashion")</f>
        <v>Fashion</v>
      </c>
      <c r="J149" s="7" t="str">
        <f t="shared" si="2"/>
        <v>Mismatch</v>
      </c>
      <c r="K149" s="2">
        <v>5</v>
      </c>
      <c r="L149" s="8">
        <v>483.86</v>
      </c>
      <c r="M149" s="9">
        <v>0.2</v>
      </c>
      <c r="N149" s="8">
        <v>1935.44</v>
      </c>
      <c r="O149" s="2" t="s">
        <v>50</v>
      </c>
      <c r="P149" s="7" t="s">
        <v>67</v>
      </c>
      <c r="Q149" s="2" t="s">
        <v>377</v>
      </c>
      <c r="R149" s="2">
        <v>5</v>
      </c>
      <c r="S149" t="str">
        <f>IF(Table1[[#This Row],[Order Date]]&lt;Q149,"Yes","No")</f>
        <v>Yes</v>
      </c>
    </row>
    <row r="150" spans="1:19" ht="14.25" customHeight="1" x14ac:dyDescent="0.3">
      <c r="A150" s="2" t="s">
        <v>378</v>
      </c>
      <c r="B150" s="13">
        <v>45852</v>
      </c>
      <c r="C150" s="2" t="s">
        <v>289</v>
      </c>
      <c r="D150" s="3" t="s">
        <v>34</v>
      </c>
      <c r="E150" s="3" t="s">
        <v>35</v>
      </c>
      <c r="F150" s="2" t="s">
        <v>6</v>
      </c>
      <c r="G150" s="2" t="s">
        <v>7</v>
      </c>
      <c r="H150" s="7" t="s">
        <v>478</v>
      </c>
      <c r="I150" s="7" t="str" cm="1">
        <f t="array" ref="I150">_xlfn.SWITCH(H150,"ELEC","Electronics","BEAU","Beauty","HOME","Home &amp; Kitchen","FASH","Fashion")</f>
        <v>Electronics</v>
      </c>
      <c r="J150" s="7" t="str">
        <f t="shared" si="2"/>
        <v>Match</v>
      </c>
      <c r="K150" s="2">
        <v>1</v>
      </c>
      <c r="L150" s="8">
        <v>290.56</v>
      </c>
      <c r="M150" s="9">
        <v>0</v>
      </c>
      <c r="N150" s="8">
        <v>290.56</v>
      </c>
      <c r="O150" s="2" t="s">
        <v>40</v>
      </c>
      <c r="P150" s="7" t="s">
        <v>45</v>
      </c>
      <c r="Q150" s="2" t="s">
        <v>379</v>
      </c>
      <c r="R150" s="2">
        <v>2</v>
      </c>
      <c r="S150" t="str">
        <f>IF(Table1[[#This Row],[Order Date]]&lt;Q150,"Yes","No")</f>
        <v>Yes</v>
      </c>
    </row>
    <row r="151" spans="1:19" ht="14.25" customHeight="1" x14ac:dyDescent="0.3">
      <c r="A151" s="2" t="s">
        <v>380</v>
      </c>
      <c r="B151" s="13">
        <v>45914</v>
      </c>
      <c r="C151" s="2" t="s">
        <v>381</v>
      </c>
      <c r="D151" s="3" t="s">
        <v>34</v>
      </c>
      <c r="E151" s="3" t="s">
        <v>35</v>
      </c>
      <c r="F151" s="2" t="s">
        <v>6</v>
      </c>
      <c r="G151" s="2" t="s">
        <v>13</v>
      </c>
      <c r="H151" s="7" t="s">
        <v>479</v>
      </c>
      <c r="I151" s="7" t="str" cm="1">
        <f t="array" ref="I151">_xlfn.SWITCH(H151,"ELEC","Electronics","BEAU","Beauty","HOME","Home &amp; Kitchen","FASH","Fashion")</f>
        <v>Beauty</v>
      </c>
      <c r="J151" s="7" t="str">
        <f t="shared" si="2"/>
        <v>Mismatch</v>
      </c>
      <c r="K151" s="2">
        <v>8</v>
      </c>
      <c r="L151" s="8">
        <v>437.68</v>
      </c>
      <c r="M151" s="9">
        <v>0</v>
      </c>
      <c r="N151" s="8">
        <v>3501.44</v>
      </c>
      <c r="O151" s="2" t="s">
        <v>30</v>
      </c>
      <c r="P151" s="7" t="s">
        <v>67</v>
      </c>
      <c r="Q151" s="2" t="s">
        <v>374</v>
      </c>
      <c r="R151" s="2">
        <v>2</v>
      </c>
      <c r="S151" t="str">
        <f>IF(Table1[[#This Row],[Order Date]]&lt;Q151,"Yes","No")</f>
        <v>Yes</v>
      </c>
    </row>
    <row r="152" spans="1:19" ht="14.25" customHeight="1" x14ac:dyDescent="0.3">
      <c r="A152" s="2" t="s">
        <v>382</v>
      </c>
      <c r="B152" s="13">
        <v>45893</v>
      </c>
      <c r="C152" s="2" t="s">
        <v>208</v>
      </c>
      <c r="D152" s="3" t="s">
        <v>39</v>
      </c>
      <c r="E152" s="3" t="s">
        <v>11</v>
      </c>
      <c r="F152" s="2" t="s">
        <v>6</v>
      </c>
      <c r="G152" s="2" t="s">
        <v>19</v>
      </c>
      <c r="H152" s="7" t="s">
        <v>480</v>
      </c>
      <c r="I152" s="7" t="str" cm="1">
        <f t="array" ref="I152">_xlfn.SWITCH(H152,"ELEC","Electronics","BEAU","Beauty","HOME","Home &amp; Kitchen","FASH","Fashion")</f>
        <v>Home &amp; Kitchen</v>
      </c>
      <c r="J152" s="7" t="str">
        <f t="shared" si="2"/>
        <v>Mismatch</v>
      </c>
      <c r="K152" s="2">
        <v>9</v>
      </c>
      <c r="L152" s="8">
        <v>183.6</v>
      </c>
      <c r="M152" s="9">
        <v>0.1</v>
      </c>
      <c r="N152" s="8">
        <v>1487.16</v>
      </c>
      <c r="O152" s="2" t="s">
        <v>8</v>
      </c>
      <c r="P152" s="7" t="s">
        <v>53</v>
      </c>
      <c r="Q152" s="2" t="s">
        <v>383</v>
      </c>
      <c r="R152" s="2">
        <v>5</v>
      </c>
      <c r="S152" t="str">
        <f>IF(Table1[[#This Row],[Order Date]]&lt;Q152,"Yes","No")</f>
        <v>Yes</v>
      </c>
    </row>
    <row r="153" spans="1:19" ht="14.25" customHeight="1" x14ac:dyDescent="0.3">
      <c r="A153" s="2" t="s">
        <v>384</v>
      </c>
      <c r="B153" s="13">
        <v>46018</v>
      </c>
      <c r="C153" s="2" t="s">
        <v>385</v>
      </c>
      <c r="D153" s="3" t="s">
        <v>17</v>
      </c>
      <c r="E153" s="3" t="s">
        <v>18</v>
      </c>
      <c r="F153" s="2" t="s">
        <v>44</v>
      </c>
      <c r="G153" s="2" t="s">
        <v>49</v>
      </c>
      <c r="H153" s="7" t="s">
        <v>481</v>
      </c>
      <c r="I153" s="7" t="str" cm="1">
        <f t="array" ref="I153">_xlfn.SWITCH(H153,"ELEC","Electronics","BEAU","Beauty","HOME","Home &amp; Kitchen","FASH","Fashion")</f>
        <v>Fashion</v>
      </c>
      <c r="J153" s="7" t="str">
        <f t="shared" si="2"/>
        <v>Match</v>
      </c>
      <c r="K153" s="2">
        <v>6</v>
      </c>
      <c r="L153" s="8">
        <v>245.1</v>
      </c>
      <c r="M153" s="9">
        <v>0.2</v>
      </c>
      <c r="N153" s="8">
        <v>1176.48</v>
      </c>
      <c r="O153" s="2" t="s">
        <v>30</v>
      </c>
      <c r="P153" s="7" t="s">
        <v>53</v>
      </c>
      <c r="Q153" s="2" t="s">
        <v>222</v>
      </c>
      <c r="R153" s="2">
        <v>3</v>
      </c>
      <c r="S153" t="str">
        <f>IF(Table1[[#This Row],[Order Date]]&lt;Q153,"Yes","No")</f>
        <v>Yes</v>
      </c>
    </row>
    <row r="154" spans="1:19" ht="14.25" customHeight="1" x14ac:dyDescent="0.3">
      <c r="A154" s="2" t="s">
        <v>386</v>
      </c>
      <c r="B154" s="13">
        <v>45732</v>
      </c>
      <c r="C154" s="2" t="s">
        <v>387</v>
      </c>
      <c r="D154" s="3" t="s">
        <v>39</v>
      </c>
      <c r="E154" s="3" t="s">
        <v>11</v>
      </c>
      <c r="F154" s="2" t="s">
        <v>6</v>
      </c>
      <c r="G154" s="2" t="s">
        <v>29</v>
      </c>
      <c r="H154" s="7" t="s">
        <v>478</v>
      </c>
      <c r="I154" s="7" t="str" cm="1">
        <f t="array" ref="I154">_xlfn.SWITCH(H154,"ELEC","Electronics","BEAU","Beauty","HOME","Home &amp; Kitchen","FASH","Fashion")</f>
        <v>Electronics</v>
      </c>
      <c r="J154" s="7" t="str">
        <f t="shared" si="2"/>
        <v>Match</v>
      </c>
      <c r="K154" s="2">
        <v>5</v>
      </c>
      <c r="L154" s="8">
        <v>478.1</v>
      </c>
      <c r="M154" s="9">
        <v>0</v>
      </c>
      <c r="N154" s="8">
        <v>2390.5</v>
      </c>
      <c r="O154" s="2" t="s">
        <v>30</v>
      </c>
      <c r="P154" s="7" t="s">
        <v>67</v>
      </c>
      <c r="Q154" s="2" t="s">
        <v>388</v>
      </c>
      <c r="R154" s="2">
        <v>3</v>
      </c>
      <c r="S154" t="str">
        <f>IF(Table1[[#This Row],[Order Date]]&lt;Q154,"Yes","No")</f>
        <v>Yes</v>
      </c>
    </row>
    <row r="155" spans="1:19" ht="14.25" customHeight="1" x14ac:dyDescent="0.3">
      <c r="A155" s="2" t="s">
        <v>389</v>
      </c>
      <c r="B155" s="13">
        <v>45945</v>
      </c>
      <c r="C155" s="2" t="s">
        <v>471</v>
      </c>
      <c r="D155" s="3" t="s">
        <v>34</v>
      </c>
      <c r="E155" s="3" t="s">
        <v>35</v>
      </c>
      <c r="F155" s="2" t="s">
        <v>44</v>
      </c>
      <c r="G155" s="2" t="s">
        <v>19</v>
      </c>
      <c r="H155" s="7" t="s">
        <v>480</v>
      </c>
      <c r="I155" s="7" t="str" cm="1">
        <f t="array" ref="I155">_xlfn.SWITCH(H155,"ELEC","Electronics","BEAU","Beauty","HOME","Home &amp; Kitchen","FASH","Fashion")</f>
        <v>Home &amp; Kitchen</v>
      </c>
      <c r="J155" s="7" t="str">
        <f t="shared" si="2"/>
        <v>Mismatch</v>
      </c>
      <c r="K155" s="2">
        <v>3</v>
      </c>
      <c r="L155" s="8">
        <v>63.52</v>
      </c>
      <c r="M155" s="9">
        <v>0.2</v>
      </c>
      <c r="N155" s="8">
        <v>152.44999999999999</v>
      </c>
      <c r="O155" s="2" t="s">
        <v>50</v>
      </c>
      <c r="P155" s="7" t="s">
        <v>45</v>
      </c>
      <c r="Q155" s="2" t="s">
        <v>390</v>
      </c>
      <c r="R155" s="2">
        <v>2</v>
      </c>
      <c r="S155" t="str">
        <f>IF(Table1[[#This Row],[Order Date]]&lt;Q155,"Yes","No")</f>
        <v>Yes</v>
      </c>
    </row>
    <row r="156" spans="1:19" ht="14.25" customHeight="1" x14ac:dyDescent="0.3">
      <c r="A156" s="2" t="s">
        <v>391</v>
      </c>
      <c r="B156" s="13">
        <v>45827</v>
      </c>
      <c r="C156" s="2" t="s">
        <v>392</v>
      </c>
      <c r="D156" s="3" t="s">
        <v>58</v>
      </c>
      <c r="E156" s="3" t="s">
        <v>5</v>
      </c>
      <c r="F156" s="2" t="s">
        <v>44</v>
      </c>
      <c r="G156" s="2" t="s">
        <v>49</v>
      </c>
      <c r="H156" s="7" t="s">
        <v>481</v>
      </c>
      <c r="I156" s="7" t="str" cm="1">
        <f t="array" ref="I156">_xlfn.SWITCH(H156,"ELEC","Electronics","BEAU","Beauty","HOME","Home &amp; Kitchen","FASH","Fashion")</f>
        <v>Fashion</v>
      </c>
      <c r="J156" s="7" t="str">
        <f t="shared" si="2"/>
        <v>Match</v>
      </c>
      <c r="K156" s="2">
        <v>2</v>
      </c>
      <c r="L156" s="8">
        <v>343.78</v>
      </c>
      <c r="M156" s="9">
        <v>1.5</v>
      </c>
      <c r="N156" s="8">
        <v>-343.78</v>
      </c>
      <c r="O156" s="2" t="s">
        <v>40</v>
      </c>
      <c r="P156" s="7" t="s">
        <v>67</v>
      </c>
      <c r="Q156" s="2" t="s">
        <v>393</v>
      </c>
      <c r="R156" s="2">
        <v>1</v>
      </c>
      <c r="S156" t="str">
        <f>IF(Table1[[#This Row],[Order Date]]&lt;Q156,"Yes","No")</f>
        <v>Yes</v>
      </c>
    </row>
    <row r="157" spans="1:19" ht="14.25" customHeight="1" x14ac:dyDescent="0.3">
      <c r="A157" s="2" t="s">
        <v>394</v>
      </c>
      <c r="B157" s="13">
        <v>45804</v>
      </c>
      <c r="C157" s="2" t="s">
        <v>27</v>
      </c>
      <c r="D157" s="3" t="s">
        <v>58</v>
      </c>
      <c r="E157" s="3" t="s">
        <v>183</v>
      </c>
      <c r="F157" s="2" t="s">
        <v>71</v>
      </c>
      <c r="G157" s="2" t="s">
        <v>29</v>
      </c>
      <c r="H157" s="7" t="s">
        <v>478</v>
      </c>
      <c r="I157" s="7" t="str" cm="1">
        <f t="array" ref="I157">_xlfn.SWITCH(H157,"ELEC","Electronics","BEAU","Beauty","HOME","Home &amp; Kitchen","FASH","Fashion")</f>
        <v>Electronics</v>
      </c>
      <c r="J157" s="7" t="str">
        <f t="shared" si="2"/>
        <v>Mismatch</v>
      </c>
      <c r="K157" s="2">
        <v>2</v>
      </c>
      <c r="L157" s="8">
        <v>329.63</v>
      </c>
      <c r="M157" s="9">
        <v>0.05</v>
      </c>
      <c r="N157" s="8">
        <v>626.29999999999995</v>
      </c>
      <c r="O157" s="2" t="s">
        <v>8</v>
      </c>
      <c r="P157" s="7" t="s">
        <v>45</v>
      </c>
      <c r="Q157" s="2" t="s">
        <v>395</v>
      </c>
      <c r="R157" s="2">
        <v>5</v>
      </c>
      <c r="S157" t="str">
        <f>IF(Table1[[#This Row],[Order Date]]&lt;Q157,"Yes","No")</f>
        <v>Yes</v>
      </c>
    </row>
    <row r="158" spans="1:19" ht="14.25" customHeight="1" x14ac:dyDescent="0.3">
      <c r="A158" s="2" t="s">
        <v>396</v>
      </c>
      <c r="B158" s="13">
        <v>45806</v>
      </c>
      <c r="C158" s="2" t="s">
        <v>69</v>
      </c>
      <c r="D158" s="3" t="s">
        <v>17</v>
      </c>
      <c r="E158" s="3" t="s">
        <v>18</v>
      </c>
      <c r="F158" s="2" t="s">
        <v>44</v>
      </c>
      <c r="G158" s="2" t="s">
        <v>29</v>
      </c>
      <c r="H158" s="7" t="s">
        <v>478</v>
      </c>
      <c r="I158" s="7" t="str" cm="1">
        <f t="array" ref="I158">_xlfn.SWITCH(H158,"ELEC","Electronics","BEAU","Beauty","HOME","Home &amp; Kitchen","FASH","Fashion")</f>
        <v>Electronics</v>
      </c>
      <c r="J158" s="7" t="str">
        <f t="shared" si="2"/>
        <v>Mismatch</v>
      </c>
      <c r="K158" s="2">
        <v>0</v>
      </c>
      <c r="L158" s="8">
        <v>288.3</v>
      </c>
      <c r="M158" s="9">
        <v>0</v>
      </c>
      <c r="N158" s="8">
        <v>0</v>
      </c>
      <c r="O158" s="2" t="s">
        <v>50</v>
      </c>
      <c r="P158" s="7" t="s">
        <v>53</v>
      </c>
      <c r="Q158" s="2" t="s">
        <v>397</v>
      </c>
      <c r="R158" s="2">
        <v>3</v>
      </c>
      <c r="S158" t="str">
        <f>IF(Table1[[#This Row],[Order Date]]&lt;Q158,"Yes","No")</f>
        <v>Yes</v>
      </c>
    </row>
    <row r="159" spans="1:19" ht="14.25" customHeight="1" x14ac:dyDescent="0.3">
      <c r="A159" s="2" t="s">
        <v>398</v>
      </c>
      <c r="B159" s="13">
        <v>45897</v>
      </c>
      <c r="C159" s="2" t="s">
        <v>399</v>
      </c>
      <c r="D159" s="3" t="s">
        <v>58</v>
      </c>
      <c r="E159" s="3" t="s">
        <v>5</v>
      </c>
      <c r="F159" s="2" t="s">
        <v>44</v>
      </c>
      <c r="G159" s="2" t="s">
        <v>7</v>
      </c>
      <c r="H159" s="7" t="s">
        <v>478</v>
      </c>
      <c r="I159" s="7" t="str" cm="1">
        <f t="array" ref="I159">_xlfn.SWITCH(H159,"ELEC","Electronics","BEAU","Beauty","HOME","Home &amp; Kitchen","FASH","Fashion")</f>
        <v>Electronics</v>
      </c>
      <c r="J159" s="7" t="str">
        <f t="shared" si="2"/>
        <v>Mismatch</v>
      </c>
      <c r="K159" s="2">
        <v>2</v>
      </c>
      <c r="L159" s="8">
        <v>172.04</v>
      </c>
      <c r="M159" s="9">
        <v>0.15</v>
      </c>
      <c r="N159" s="8">
        <v>292.47000000000003</v>
      </c>
      <c r="O159" s="2" t="s">
        <v>8</v>
      </c>
      <c r="P159" s="7" t="s">
        <v>31</v>
      </c>
      <c r="Q159" s="2" t="s">
        <v>400</v>
      </c>
      <c r="R159" s="2">
        <v>3</v>
      </c>
      <c r="S159" t="str">
        <f>IF(Table1[[#This Row],[Order Date]]&lt;Q159,"Yes","No")</f>
        <v>Yes</v>
      </c>
    </row>
    <row r="160" spans="1:19" ht="14.25" customHeight="1" x14ac:dyDescent="0.3">
      <c r="A160" s="2" t="s">
        <v>401</v>
      </c>
      <c r="B160" s="13">
        <v>45911</v>
      </c>
      <c r="C160" s="2" t="s">
        <v>100</v>
      </c>
      <c r="D160" s="3" t="s">
        <v>58</v>
      </c>
      <c r="E160" s="3" t="s">
        <v>183</v>
      </c>
      <c r="F160" s="2" t="s">
        <v>6</v>
      </c>
      <c r="G160" s="2" t="s">
        <v>49</v>
      </c>
      <c r="H160" s="7" t="s">
        <v>481</v>
      </c>
      <c r="I160" s="7" t="str" cm="1">
        <f t="array" ref="I160">_xlfn.SWITCH(H160,"ELEC","Electronics","BEAU","Beauty","HOME","Home &amp; Kitchen","FASH","Fashion")</f>
        <v>Fashion</v>
      </c>
      <c r="J160" s="7" t="str">
        <f t="shared" si="2"/>
        <v>Mismatch</v>
      </c>
      <c r="K160" s="2">
        <v>7</v>
      </c>
      <c r="L160" s="8">
        <v>262.49</v>
      </c>
      <c r="M160" s="9">
        <v>0</v>
      </c>
      <c r="N160" s="8">
        <v>1837.43</v>
      </c>
      <c r="O160" s="2" t="s">
        <v>40</v>
      </c>
      <c r="P160" s="7" t="s">
        <v>31</v>
      </c>
      <c r="Q160" s="2" t="s">
        <v>402</v>
      </c>
      <c r="R160" s="2">
        <v>4</v>
      </c>
      <c r="S160" t="str">
        <f>IF(Table1[[#This Row],[Order Date]]&lt;Q160,"Yes","No")</f>
        <v>Yes</v>
      </c>
    </row>
    <row r="161" spans="1:19" ht="14.25" customHeight="1" x14ac:dyDescent="0.3">
      <c r="A161" s="2" t="s">
        <v>403</v>
      </c>
      <c r="B161" s="13">
        <v>45662</v>
      </c>
      <c r="C161" s="2" t="s">
        <v>364</v>
      </c>
      <c r="D161" s="3" t="s">
        <v>23</v>
      </c>
      <c r="E161" s="3" t="s">
        <v>24</v>
      </c>
      <c r="F161" s="2" t="s">
        <v>6</v>
      </c>
      <c r="G161" s="2" t="s">
        <v>19</v>
      </c>
      <c r="H161" s="7" t="s">
        <v>480</v>
      </c>
      <c r="I161" s="7" t="str" cm="1">
        <f t="array" ref="I161">_xlfn.SWITCH(H161,"ELEC","Electronics","BEAU","Beauty","HOME","Home &amp; Kitchen","FASH","Fashion")</f>
        <v>Home &amp; Kitchen</v>
      </c>
      <c r="J161" s="7" t="str">
        <f t="shared" si="2"/>
        <v>Mismatch</v>
      </c>
      <c r="K161" s="2">
        <v>6</v>
      </c>
      <c r="L161" s="8">
        <v>157.94999999999999</v>
      </c>
      <c r="M161" s="9">
        <v>0.2</v>
      </c>
      <c r="N161" s="8">
        <v>758.16</v>
      </c>
      <c r="O161" s="2" t="s">
        <v>30</v>
      </c>
      <c r="P161" s="7" t="s">
        <v>45</v>
      </c>
      <c r="Q161" s="2" t="s">
        <v>303</v>
      </c>
      <c r="R161" s="2">
        <v>1</v>
      </c>
      <c r="S161" t="str">
        <f>IF(Table1[[#This Row],[Order Date]]&lt;Q161,"Yes","No")</f>
        <v>Yes</v>
      </c>
    </row>
    <row r="162" spans="1:19" ht="14.25" customHeight="1" x14ac:dyDescent="0.3">
      <c r="A162" s="2" t="s">
        <v>404</v>
      </c>
      <c r="B162" s="13">
        <v>45815</v>
      </c>
      <c r="C162" s="2" t="s">
        <v>4</v>
      </c>
      <c r="D162" s="3" t="s">
        <v>58</v>
      </c>
      <c r="E162" s="3" t="s">
        <v>28</v>
      </c>
      <c r="F162" s="2" t="s">
        <v>44</v>
      </c>
      <c r="G162" s="2" t="s">
        <v>49</v>
      </c>
      <c r="H162" s="7" t="s">
        <v>481</v>
      </c>
      <c r="I162" s="7" t="str" cm="1">
        <f t="array" ref="I162">_xlfn.SWITCH(H162,"ELEC","Electronics","BEAU","Beauty","HOME","Home &amp; Kitchen","FASH","Fashion")</f>
        <v>Fashion</v>
      </c>
      <c r="J162" s="7" t="str">
        <f t="shared" si="2"/>
        <v>Match</v>
      </c>
      <c r="K162" s="2">
        <v>9</v>
      </c>
      <c r="L162" s="8">
        <v>462.32</v>
      </c>
      <c r="M162" s="9">
        <v>0.1</v>
      </c>
      <c r="N162" s="8">
        <v>3744.79</v>
      </c>
      <c r="O162" s="2" t="s">
        <v>8</v>
      </c>
      <c r="P162" s="7" t="s">
        <v>45</v>
      </c>
      <c r="Q162" s="2" t="s">
        <v>405</v>
      </c>
      <c r="S162" t="str">
        <f>IF(Table1[[#This Row],[Order Date]]&lt;Q162,"Yes","No")</f>
        <v>Yes</v>
      </c>
    </row>
    <row r="163" spans="1:19" ht="14.25" customHeight="1" x14ac:dyDescent="0.3">
      <c r="A163" s="2" t="s">
        <v>406</v>
      </c>
      <c r="B163" s="13">
        <v>45849</v>
      </c>
      <c r="C163" s="2" t="s">
        <v>211</v>
      </c>
      <c r="D163" s="3" t="s">
        <v>34</v>
      </c>
      <c r="E163" s="3" t="s">
        <v>35</v>
      </c>
      <c r="F163" s="2" t="s">
        <v>12</v>
      </c>
      <c r="G163" s="2" t="s">
        <v>49</v>
      </c>
      <c r="H163" s="7" t="s">
        <v>481</v>
      </c>
      <c r="I163" s="7" t="str" cm="1">
        <f t="array" ref="I163">_xlfn.SWITCH(H163,"ELEC","Electronics","BEAU","Beauty","HOME","Home &amp; Kitchen","FASH","Fashion")</f>
        <v>Fashion</v>
      </c>
      <c r="J163" s="7" t="str">
        <f t="shared" si="2"/>
        <v>Mismatch</v>
      </c>
      <c r="K163" s="2">
        <v>9</v>
      </c>
      <c r="L163" s="8">
        <v>457.27</v>
      </c>
      <c r="M163" s="9">
        <v>0.2</v>
      </c>
      <c r="N163" s="8">
        <v>3292.34</v>
      </c>
      <c r="O163" s="2" t="s">
        <v>50</v>
      </c>
      <c r="P163" s="7" t="s">
        <v>45</v>
      </c>
      <c r="Q163" s="2" t="s">
        <v>407</v>
      </c>
      <c r="R163" s="2">
        <v>2</v>
      </c>
      <c r="S163" t="str">
        <f>IF(Table1[[#This Row],[Order Date]]&lt;Q163,"Yes","No")</f>
        <v>Yes</v>
      </c>
    </row>
    <row r="164" spans="1:19" ht="14.25" customHeight="1" x14ac:dyDescent="0.3">
      <c r="A164" s="2" t="s">
        <v>408</v>
      </c>
      <c r="B164" s="13">
        <v>45902</v>
      </c>
      <c r="C164" s="2" t="s">
        <v>409</v>
      </c>
      <c r="D164" s="3" t="s">
        <v>58</v>
      </c>
      <c r="E164" s="3" t="s">
        <v>183</v>
      </c>
      <c r="F164" s="2" t="s">
        <v>6</v>
      </c>
      <c r="G164" s="2" t="s">
        <v>29</v>
      </c>
      <c r="H164" s="7" t="s">
        <v>478</v>
      </c>
      <c r="I164" s="7" t="str" cm="1">
        <f t="array" ref="I164">_xlfn.SWITCH(H164,"ELEC","Electronics","BEAU","Beauty","HOME","Home &amp; Kitchen","FASH","Fashion")</f>
        <v>Electronics</v>
      </c>
      <c r="J164" s="7" t="str">
        <f t="shared" si="2"/>
        <v>Match</v>
      </c>
      <c r="K164" s="2">
        <v>-2</v>
      </c>
      <c r="L164" s="8">
        <v>416.1</v>
      </c>
      <c r="M164" s="9">
        <v>0.2</v>
      </c>
      <c r="N164" s="8">
        <v>-665.76</v>
      </c>
      <c r="O164" s="2" t="s">
        <v>50</v>
      </c>
      <c r="P164" s="7" t="s">
        <v>67</v>
      </c>
      <c r="R164" s="2">
        <v>2</v>
      </c>
      <c r="S164" t="str">
        <f>IF(Table1[[#This Row],[Order Date]]&lt;Q164,"Yes","No")</f>
        <v>No</v>
      </c>
    </row>
    <row r="165" spans="1:19" ht="14.25" customHeight="1" x14ac:dyDescent="0.3">
      <c r="A165" s="2" t="s">
        <v>410</v>
      </c>
      <c r="B165" s="13">
        <v>45878</v>
      </c>
      <c r="C165" s="2" t="s">
        <v>100</v>
      </c>
      <c r="D165" s="3" t="s">
        <v>39</v>
      </c>
      <c r="E165" s="3" t="s">
        <v>11</v>
      </c>
      <c r="F165" s="2" t="s">
        <v>44</v>
      </c>
      <c r="G165" s="2" t="s">
        <v>13</v>
      </c>
      <c r="H165" s="7" t="s">
        <v>479</v>
      </c>
      <c r="I165" s="7" t="str" cm="1">
        <f t="array" ref="I165">_xlfn.SWITCH(H165,"ELEC","Electronics","BEAU","Beauty","HOME","Home &amp; Kitchen","FASH","Fashion")</f>
        <v>Beauty</v>
      </c>
      <c r="J165" s="7" t="str">
        <f t="shared" si="2"/>
        <v>Mismatch</v>
      </c>
      <c r="K165" s="2">
        <v>8</v>
      </c>
      <c r="L165" s="8">
        <v>406.26</v>
      </c>
      <c r="M165" s="9">
        <v>0.15</v>
      </c>
      <c r="N165" s="8">
        <v>2762.57</v>
      </c>
      <c r="O165" s="2" t="s">
        <v>8</v>
      </c>
      <c r="P165" s="7" t="s">
        <v>53</v>
      </c>
      <c r="Q165" s="2" t="s">
        <v>411</v>
      </c>
      <c r="R165" s="2">
        <v>2</v>
      </c>
      <c r="S165" t="str">
        <f>IF(Table1[[#This Row],[Order Date]]&lt;Q165,"Yes","No")</f>
        <v>Yes</v>
      </c>
    </row>
    <row r="166" spans="1:19" ht="14.25" customHeight="1" x14ac:dyDescent="0.3">
      <c r="A166" s="2" t="s">
        <v>412</v>
      </c>
      <c r="B166" s="13">
        <v>45860</v>
      </c>
      <c r="C166" s="2" t="s">
        <v>413</v>
      </c>
      <c r="D166" s="3" t="s">
        <v>23</v>
      </c>
      <c r="E166" s="3" t="s">
        <v>24</v>
      </c>
      <c r="F166" s="2" t="s">
        <v>6</v>
      </c>
      <c r="G166" s="2" t="s">
        <v>29</v>
      </c>
      <c r="H166" s="7" t="s">
        <v>478</v>
      </c>
      <c r="I166" s="7" t="str" cm="1">
        <f t="array" ref="I166">_xlfn.SWITCH(H166,"ELEC","Electronics","BEAU","Beauty","HOME","Home &amp; Kitchen","FASH","Fashion")</f>
        <v>Electronics</v>
      </c>
      <c r="J166" s="7" t="str">
        <f t="shared" si="2"/>
        <v>Match</v>
      </c>
      <c r="K166" s="2">
        <v>4</v>
      </c>
      <c r="L166" s="8">
        <v>293.37</v>
      </c>
      <c r="M166" s="9">
        <v>0</v>
      </c>
      <c r="N166" s="8">
        <v>1173.48</v>
      </c>
      <c r="O166" s="2" t="s">
        <v>50</v>
      </c>
      <c r="P166" s="7" t="s">
        <v>45</v>
      </c>
      <c r="Q166" s="2" t="s">
        <v>370</v>
      </c>
      <c r="R166" s="2">
        <v>4</v>
      </c>
      <c r="S166" t="str">
        <f>IF(Table1[[#This Row],[Order Date]]&lt;Q166,"Yes","No")</f>
        <v>Yes</v>
      </c>
    </row>
    <row r="167" spans="1:19" ht="14.25" customHeight="1" x14ac:dyDescent="0.3">
      <c r="A167" s="2" t="s">
        <v>414</v>
      </c>
      <c r="B167" s="14">
        <v>45658</v>
      </c>
      <c r="C167" s="2" t="s">
        <v>205</v>
      </c>
      <c r="D167" s="3" t="s">
        <v>34</v>
      </c>
      <c r="E167" s="3" t="s">
        <v>35</v>
      </c>
      <c r="F167" s="2" t="s">
        <v>12</v>
      </c>
      <c r="G167" s="2" t="s">
        <v>7</v>
      </c>
      <c r="H167" s="7" t="s">
        <v>478</v>
      </c>
      <c r="I167" s="7" t="str" cm="1">
        <f t="array" ref="I167">_xlfn.SWITCH(H167,"ELEC","Electronics","BEAU","Beauty","HOME","Home &amp; Kitchen","FASH","Fashion")</f>
        <v>Electronics</v>
      </c>
      <c r="J167" s="7" t="str">
        <f t="shared" si="2"/>
        <v>Mismatch</v>
      </c>
      <c r="K167" s="2">
        <v>3</v>
      </c>
      <c r="L167" s="8">
        <v>385.26</v>
      </c>
      <c r="M167" s="9">
        <v>0.15</v>
      </c>
      <c r="N167" s="8">
        <v>982.41</v>
      </c>
      <c r="O167" s="2" t="s">
        <v>40</v>
      </c>
      <c r="P167" s="7" t="s">
        <v>67</v>
      </c>
      <c r="Q167" s="2" t="s">
        <v>166</v>
      </c>
      <c r="R167" s="2">
        <v>3</v>
      </c>
      <c r="S167" t="str">
        <f>IF(Table1[[#This Row],[Order Date]]&lt;Q167,"Yes","No")</f>
        <v>Yes</v>
      </c>
    </row>
    <row r="168" spans="1:19" ht="14.25" customHeight="1" x14ac:dyDescent="0.3">
      <c r="A168" s="2" t="s">
        <v>415</v>
      </c>
      <c r="B168" s="13">
        <v>45933</v>
      </c>
      <c r="C168" s="2" t="s">
        <v>416</v>
      </c>
      <c r="D168" s="3" t="s">
        <v>58</v>
      </c>
      <c r="E168" s="3" t="s">
        <v>183</v>
      </c>
      <c r="F168" s="2" t="s">
        <v>6</v>
      </c>
      <c r="G168" s="2" t="s">
        <v>19</v>
      </c>
      <c r="H168" s="7" t="s">
        <v>480</v>
      </c>
      <c r="I168" s="7" t="str" cm="1">
        <f t="array" ref="I168">_xlfn.SWITCH(H168,"ELEC","Electronics","BEAU","Beauty","HOME","Home &amp; Kitchen","FASH","Fashion")</f>
        <v>Home &amp; Kitchen</v>
      </c>
      <c r="J168" s="7" t="str">
        <f t="shared" si="2"/>
        <v>Mismatch</v>
      </c>
      <c r="K168" s="2">
        <v>2</v>
      </c>
      <c r="L168" s="8">
        <v>97.45</v>
      </c>
      <c r="M168" s="9">
        <v>0.2</v>
      </c>
      <c r="N168" s="8">
        <v>155.91999999999999</v>
      </c>
      <c r="O168" s="2" t="s">
        <v>8</v>
      </c>
      <c r="P168" s="7" t="s">
        <v>45</v>
      </c>
      <c r="Q168" s="2" t="s">
        <v>388</v>
      </c>
      <c r="R168" s="2">
        <v>4</v>
      </c>
      <c r="S168" t="str">
        <f>IF(Table1[[#This Row],[Order Date]]&lt;Q168,"Yes","No")</f>
        <v>Yes</v>
      </c>
    </row>
    <row r="169" spans="1:19" ht="14.25" customHeight="1" x14ac:dyDescent="0.3">
      <c r="A169" s="2" t="s">
        <v>417</v>
      </c>
      <c r="B169" s="13">
        <v>45816</v>
      </c>
      <c r="C169" s="2" t="s">
        <v>418</v>
      </c>
      <c r="D169" s="3" t="s">
        <v>17</v>
      </c>
      <c r="E169" s="3" t="s">
        <v>18</v>
      </c>
      <c r="F169" s="2" t="s">
        <v>44</v>
      </c>
      <c r="G169" s="2" t="s">
        <v>49</v>
      </c>
      <c r="H169" s="7" t="s">
        <v>481</v>
      </c>
      <c r="I169" s="7" t="str" cm="1">
        <f t="array" ref="I169">_xlfn.SWITCH(H169,"ELEC","Electronics","BEAU","Beauty","HOME","Home &amp; Kitchen","FASH","Fashion")</f>
        <v>Fashion</v>
      </c>
      <c r="J169" s="7" t="str">
        <f t="shared" si="2"/>
        <v>Match</v>
      </c>
      <c r="K169" s="2">
        <v>4</v>
      </c>
      <c r="L169" s="8">
        <v>131.28</v>
      </c>
      <c r="M169" s="9">
        <v>0.1</v>
      </c>
      <c r="N169" s="8">
        <v>472.61</v>
      </c>
      <c r="O169" s="2" t="s">
        <v>8</v>
      </c>
      <c r="P169" s="7" t="s">
        <v>45</v>
      </c>
      <c r="Q169" s="2" t="s">
        <v>197</v>
      </c>
      <c r="R169" s="2">
        <v>2</v>
      </c>
      <c r="S169" t="str">
        <f>IF(Table1[[#This Row],[Order Date]]&lt;Q169,"Yes","No")</f>
        <v>Yes</v>
      </c>
    </row>
    <row r="170" spans="1:19" ht="14.25" customHeight="1" x14ac:dyDescent="0.3">
      <c r="A170" s="2" t="s">
        <v>419</v>
      </c>
      <c r="B170" s="13">
        <v>45763</v>
      </c>
      <c r="C170" s="2" t="s">
        <v>465</v>
      </c>
      <c r="D170" s="3" t="s">
        <v>34</v>
      </c>
      <c r="E170" s="3" t="s">
        <v>35</v>
      </c>
      <c r="F170" s="2" t="s">
        <v>6</v>
      </c>
      <c r="G170" s="2" t="s">
        <v>29</v>
      </c>
      <c r="H170" s="7" t="s">
        <v>478</v>
      </c>
      <c r="I170" s="7" t="str" cm="1">
        <f t="array" ref="I170">_xlfn.SWITCH(H170,"ELEC","Electronics","BEAU","Beauty","HOME","Home &amp; Kitchen","FASH","Fashion")</f>
        <v>Electronics</v>
      </c>
      <c r="J170" s="7" t="str">
        <f t="shared" si="2"/>
        <v>Match</v>
      </c>
      <c r="K170" s="2">
        <v>10</v>
      </c>
      <c r="L170" s="8">
        <v>26.45</v>
      </c>
      <c r="M170" s="9">
        <v>0.2</v>
      </c>
      <c r="N170" s="8">
        <v>211.6</v>
      </c>
      <c r="O170" s="2" t="s">
        <v>40</v>
      </c>
      <c r="P170" s="7" t="s">
        <v>67</v>
      </c>
      <c r="Q170" s="2" t="s">
        <v>420</v>
      </c>
      <c r="R170" s="2">
        <v>8</v>
      </c>
      <c r="S170" t="str">
        <f>IF(Table1[[#This Row],[Order Date]]&lt;Q170,"Yes","No")</f>
        <v>Yes</v>
      </c>
    </row>
    <row r="171" spans="1:19" ht="14.25" customHeight="1" x14ac:dyDescent="0.3">
      <c r="A171" s="2" t="s">
        <v>421</v>
      </c>
      <c r="B171" s="13">
        <v>45729</v>
      </c>
      <c r="C171" s="2" t="s">
        <v>422</v>
      </c>
      <c r="D171" s="3" t="s">
        <v>23</v>
      </c>
      <c r="E171" s="3" t="s">
        <v>24</v>
      </c>
      <c r="F171" s="2" t="s">
        <v>6</v>
      </c>
      <c r="G171" s="2" t="s">
        <v>19</v>
      </c>
      <c r="H171" s="7" t="s">
        <v>480</v>
      </c>
      <c r="I171" s="7" t="str" cm="1">
        <f t="array" ref="I171">_xlfn.SWITCH(H171,"ELEC","Electronics","BEAU","Beauty","HOME","Home &amp; Kitchen","FASH","Fashion")</f>
        <v>Home &amp; Kitchen</v>
      </c>
      <c r="J171" s="7" t="str">
        <f t="shared" si="2"/>
        <v>Mismatch</v>
      </c>
      <c r="K171" s="2">
        <v>4</v>
      </c>
      <c r="L171" s="8">
        <v>409.74</v>
      </c>
      <c r="M171" s="9">
        <v>0.2</v>
      </c>
      <c r="N171" s="8">
        <v>1311.17</v>
      </c>
      <c r="O171" s="2" t="s">
        <v>8</v>
      </c>
      <c r="P171" s="7" t="s">
        <v>14</v>
      </c>
      <c r="Q171" s="2" t="s">
        <v>206</v>
      </c>
      <c r="R171" s="2">
        <v>3</v>
      </c>
      <c r="S171" t="str">
        <f>IF(Table1[[#This Row],[Order Date]]&lt;Q171,"Yes","No")</f>
        <v>Yes</v>
      </c>
    </row>
    <row r="172" spans="1:19" ht="14.25" customHeight="1" x14ac:dyDescent="0.3">
      <c r="A172" s="2" t="s">
        <v>423</v>
      </c>
      <c r="B172" s="15">
        <v>45798</v>
      </c>
      <c r="C172" s="2" t="s">
        <v>472</v>
      </c>
      <c r="D172" s="3" t="s">
        <v>39</v>
      </c>
      <c r="E172" s="3" t="s">
        <v>11</v>
      </c>
      <c r="F172" s="2" t="s">
        <v>6</v>
      </c>
      <c r="G172" s="2" t="s">
        <v>13</v>
      </c>
      <c r="H172" s="7" t="s">
        <v>479</v>
      </c>
      <c r="I172" s="7" t="str" cm="1">
        <f t="array" ref="I172">_xlfn.SWITCH(H172,"ELEC","Electronics","BEAU","Beauty","HOME","Home &amp; Kitchen","FASH","Fashion")</f>
        <v>Beauty</v>
      </c>
      <c r="J172" s="7" t="str">
        <f t="shared" si="2"/>
        <v>Mismatch</v>
      </c>
      <c r="K172" s="2">
        <v>10</v>
      </c>
      <c r="L172" s="8">
        <v>441.06</v>
      </c>
      <c r="M172" s="9">
        <v>0.05</v>
      </c>
      <c r="N172" s="8">
        <v>4190.07</v>
      </c>
      <c r="O172" s="2" t="s">
        <v>30</v>
      </c>
      <c r="P172" s="7" t="s">
        <v>14</v>
      </c>
      <c r="Q172" s="2" t="s">
        <v>424</v>
      </c>
      <c r="R172" s="2">
        <v>4</v>
      </c>
      <c r="S172" t="str">
        <f>IF(Table1[[#This Row],[Order Date]]&lt;Q172,"Yes","No")</f>
        <v>Yes</v>
      </c>
    </row>
    <row r="173" spans="1:19" ht="14.25" customHeight="1" x14ac:dyDescent="0.3">
      <c r="A173" s="2" t="s">
        <v>425</v>
      </c>
      <c r="B173" s="13">
        <v>46014</v>
      </c>
      <c r="C173" s="2" t="s">
        <v>73</v>
      </c>
      <c r="D173" s="3" t="s">
        <v>39</v>
      </c>
      <c r="E173" s="3" t="s">
        <v>11</v>
      </c>
      <c r="F173" s="2" t="s">
        <v>12</v>
      </c>
      <c r="G173" s="2" t="s">
        <v>49</v>
      </c>
      <c r="H173" s="7" t="s">
        <v>481</v>
      </c>
      <c r="I173" s="7" t="str" cm="1">
        <f t="array" ref="I173">_xlfn.SWITCH(H173,"ELEC","Electronics","BEAU","Beauty","HOME","Home &amp; Kitchen","FASH","Fashion")</f>
        <v>Fashion</v>
      </c>
      <c r="J173" s="7" t="str">
        <f t="shared" si="2"/>
        <v>Mismatch</v>
      </c>
      <c r="K173" s="2">
        <v>3</v>
      </c>
      <c r="L173" s="8">
        <v>156.94999999999999</v>
      </c>
      <c r="M173" s="9">
        <v>0.05</v>
      </c>
      <c r="N173" s="8">
        <v>447.31</v>
      </c>
      <c r="O173" s="2" t="s">
        <v>8</v>
      </c>
      <c r="P173" s="7" t="s">
        <v>31</v>
      </c>
      <c r="Q173" s="2" t="s">
        <v>107</v>
      </c>
      <c r="R173" s="2">
        <v>5</v>
      </c>
      <c r="S173" t="str">
        <f>IF(Table1[[#This Row],[Order Date]]&lt;Q173,"Yes","No")</f>
        <v>Yes</v>
      </c>
    </row>
    <row r="174" spans="1:19" ht="14.25" customHeight="1" x14ac:dyDescent="0.3">
      <c r="A174" s="2" t="s">
        <v>426</v>
      </c>
      <c r="B174" s="13">
        <v>45945</v>
      </c>
      <c r="C174" s="2" t="s">
        <v>69</v>
      </c>
      <c r="D174" s="3" t="s">
        <v>17</v>
      </c>
      <c r="E174" s="3" t="s">
        <v>18</v>
      </c>
      <c r="F174" s="2" t="s">
        <v>6</v>
      </c>
      <c r="G174" s="2" t="s">
        <v>49</v>
      </c>
      <c r="H174" s="7" t="s">
        <v>481</v>
      </c>
      <c r="I174" s="7" t="str" cm="1">
        <f t="array" ref="I174">_xlfn.SWITCH(H174,"ELEC","Electronics","BEAU","Beauty","HOME","Home &amp; Kitchen","FASH","Fashion")</f>
        <v>Fashion</v>
      </c>
      <c r="J174" s="7" t="str">
        <f t="shared" si="2"/>
        <v>Mismatch</v>
      </c>
      <c r="K174" s="2">
        <v>9</v>
      </c>
      <c r="L174" s="8">
        <v>269.7</v>
      </c>
      <c r="M174" s="9">
        <v>0.15</v>
      </c>
      <c r="N174" s="8">
        <v>2063.1999999999998</v>
      </c>
      <c r="O174" s="2" t="s">
        <v>30</v>
      </c>
      <c r="P174" s="7" t="s">
        <v>45</v>
      </c>
      <c r="Q174" s="2" t="s">
        <v>427</v>
      </c>
      <c r="R174" s="2">
        <v>2</v>
      </c>
      <c r="S174" t="str">
        <f>IF(Table1[[#This Row],[Order Date]]&lt;Q174,"Yes","No")</f>
        <v>Yes</v>
      </c>
    </row>
    <row r="175" spans="1:19" ht="14.25" customHeight="1" x14ac:dyDescent="0.3">
      <c r="A175" s="2" t="s">
        <v>428</v>
      </c>
      <c r="B175" s="13">
        <v>45698</v>
      </c>
      <c r="C175" s="2" t="s">
        <v>429</v>
      </c>
      <c r="D175" s="3" t="s">
        <v>58</v>
      </c>
      <c r="E175" s="3" t="s">
        <v>28</v>
      </c>
      <c r="F175" s="2" t="s">
        <v>6</v>
      </c>
      <c r="G175" s="2" t="s">
        <v>7</v>
      </c>
      <c r="H175" s="7" t="s">
        <v>478</v>
      </c>
      <c r="I175" s="7" t="str" cm="1">
        <f t="array" ref="I175">_xlfn.SWITCH(H175,"ELEC","Electronics","BEAU","Beauty","HOME","Home &amp; Kitchen","FASH","Fashion")</f>
        <v>Electronics</v>
      </c>
      <c r="J175" s="7" t="str">
        <f t="shared" si="2"/>
        <v>Match</v>
      </c>
      <c r="K175" s="2">
        <v>1</v>
      </c>
      <c r="L175" s="8">
        <v>141.55000000000001</v>
      </c>
      <c r="M175" s="9">
        <v>0.2</v>
      </c>
      <c r="N175" s="8">
        <v>113.24</v>
      </c>
      <c r="O175" s="2" t="s">
        <v>8</v>
      </c>
      <c r="P175" s="7" t="s">
        <v>53</v>
      </c>
      <c r="Q175" s="2" t="s">
        <v>430</v>
      </c>
      <c r="R175" s="2">
        <v>5</v>
      </c>
      <c r="S175" t="str">
        <f>IF(Table1[[#This Row],[Order Date]]&lt;Q175,"Yes","No")</f>
        <v>Yes</v>
      </c>
    </row>
    <row r="176" spans="1:19" ht="14.25" customHeight="1" x14ac:dyDescent="0.3">
      <c r="A176" s="2" t="s">
        <v>431</v>
      </c>
      <c r="B176" s="13">
        <v>45828</v>
      </c>
      <c r="C176" s="2" t="s">
        <v>473</v>
      </c>
      <c r="D176" s="3" t="s">
        <v>34</v>
      </c>
      <c r="E176" s="3" t="s">
        <v>35</v>
      </c>
      <c r="F176" s="2" t="s">
        <v>44</v>
      </c>
      <c r="G176" s="2" t="s">
        <v>29</v>
      </c>
      <c r="H176" s="7" t="s">
        <v>478</v>
      </c>
      <c r="I176" s="7" t="str" cm="1">
        <f t="array" ref="I176">_xlfn.SWITCH(H176,"ELEC","Electronics","BEAU","Beauty","HOME","Home &amp; Kitchen","FASH","Fashion")</f>
        <v>Electronics</v>
      </c>
      <c r="J176" s="7" t="str">
        <f t="shared" si="2"/>
        <v>Mismatch</v>
      </c>
      <c r="K176" s="2">
        <v>4</v>
      </c>
      <c r="L176" s="8">
        <v>469.21</v>
      </c>
      <c r="M176" s="9">
        <v>0</v>
      </c>
      <c r="N176" s="8">
        <v>1876.84</v>
      </c>
      <c r="O176" s="2" t="s">
        <v>30</v>
      </c>
      <c r="P176" s="7" t="s">
        <v>45</v>
      </c>
      <c r="Q176" s="2" t="s">
        <v>357</v>
      </c>
      <c r="R176" s="2">
        <v>4</v>
      </c>
      <c r="S176" t="str">
        <f>IF(Table1[[#This Row],[Order Date]]&lt;Q176,"Yes","No")</f>
        <v>Yes</v>
      </c>
    </row>
    <row r="177" spans="1:19" ht="14.25" customHeight="1" x14ac:dyDescent="0.3">
      <c r="A177" s="2" t="s">
        <v>432</v>
      </c>
      <c r="B177" s="13">
        <v>45822</v>
      </c>
      <c r="C177" s="2" t="s">
        <v>433</v>
      </c>
      <c r="D177" s="3" t="s">
        <v>17</v>
      </c>
      <c r="E177" s="3" t="s">
        <v>18</v>
      </c>
      <c r="F177" s="2" t="s">
        <v>44</v>
      </c>
      <c r="G177" s="2" t="s">
        <v>19</v>
      </c>
      <c r="H177" s="7" t="s">
        <v>480</v>
      </c>
      <c r="I177" s="7" t="str" cm="1">
        <f t="array" ref="I177">_xlfn.SWITCH(H177,"ELEC","Electronics","BEAU","Beauty","HOME","Home &amp; Kitchen","FASH","Fashion")</f>
        <v>Home &amp; Kitchen</v>
      </c>
      <c r="J177" s="7" t="str">
        <f t="shared" si="2"/>
        <v>Mismatch</v>
      </c>
      <c r="K177" s="2">
        <v>7</v>
      </c>
      <c r="L177" s="8">
        <v>238.46</v>
      </c>
      <c r="M177" s="9">
        <v>0.1</v>
      </c>
      <c r="N177" s="8">
        <v>1502.3</v>
      </c>
      <c r="O177" s="2" t="s">
        <v>40</v>
      </c>
      <c r="P177" s="7" t="s">
        <v>67</v>
      </c>
      <c r="Q177" s="2" t="s">
        <v>79</v>
      </c>
      <c r="R177" s="2">
        <v>3</v>
      </c>
      <c r="S177" t="str">
        <f>IF(Table1[[#This Row],[Order Date]]&lt;Q177,"Yes","No")</f>
        <v>Yes</v>
      </c>
    </row>
    <row r="178" spans="1:19" ht="14.25" customHeight="1" x14ac:dyDescent="0.3">
      <c r="A178" s="2" t="s">
        <v>434</v>
      </c>
      <c r="B178" s="13">
        <v>45821</v>
      </c>
      <c r="C178" s="2" t="s">
        <v>376</v>
      </c>
      <c r="D178" s="3" t="s">
        <v>58</v>
      </c>
      <c r="E178" s="3" t="s">
        <v>5</v>
      </c>
      <c r="F178" s="2" t="s">
        <v>6</v>
      </c>
      <c r="G178" s="2" t="s">
        <v>19</v>
      </c>
      <c r="H178" s="7" t="s">
        <v>480</v>
      </c>
      <c r="I178" s="7" t="str" cm="1">
        <f t="array" ref="I178">_xlfn.SWITCH(H178,"ELEC","Electronics","BEAU","Beauty","HOME","Home &amp; Kitchen","FASH","Fashion")</f>
        <v>Home &amp; Kitchen</v>
      </c>
      <c r="J178" s="7" t="str">
        <f t="shared" si="2"/>
        <v>Mismatch</v>
      </c>
      <c r="K178" s="2">
        <v>6</v>
      </c>
      <c r="L178" s="8">
        <v>212.83</v>
      </c>
      <c r="M178" s="9">
        <v>1.5</v>
      </c>
      <c r="N178" s="8">
        <v>-638.49</v>
      </c>
      <c r="O178" s="2" t="s">
        <v>50</v>
      </c>
      <c r="P178" s="7" t="s">
        <v>53</v>
      </c>
      <c r="Q178" s="2" t="s">
        <v>190</v>
      </c>
      <c r="R178" s="2">
        <v>2</v>
      </c>
      <c r="S178" t="str">
        <f>IF(Table1[[#This Row],[Order Date]]&lt;Q178,"Yes","No")</f>
        <v>Yes</v>
      </c>
    </row>
    <row r="179" spans="1:19" ht="14.25" customHeight="1" x14ac:dyDescent="0.3">
      <c r="A179" s="2" t="s">
        <v>435</v>
      </c>
      <c r="B179" s="13">
        <v>45736</v>
      </c>
      <c r="C179" s="2" t="s">
        <v>328</v>
      </c>
      <c r="D179" s="3" t="s">
        <v>23</v>
      </c>
      <c r="E179" s="3" t="s">
        <v>24</v>
      </c>
      <c r="F179" s="2" t="s">
        <v>12</v>
      </c>
      <c r="G179" s="16" t="s">
        <v>494</v>
      </c>
      <c r="H179" s="7" t="s">
        <v>480</v>
      </c>
      <c r="I179" s="7" t="str" cm="1">
        <f t="array" ref="I179">_xlfn.SWITCH(H179,"ELEC","Electronics","BEAU","Beauty","HOME","Home &amp; Kitchen","FASH","Fashion")</f>
        <v>Home &amp; Kitchen</v>
      </c>
      <c r="J179" s="7" t="str">
        <f t="shared" si="2"/>
        <v>Mismatch</v>
      </c>
      <c r="K179" s="2">
        <v>4</v>
      </c>
      <c r="L179" s="8">
        <v>196.12</v>
      </c>
      <c r="M179" s="9">
        <v>0.05</v>
      </c>
      <c r="N179" s="8">
        <v>745.26</v>
      </c>
      <c r="O179" s="2" t="s">
        <v>40</v>
      </c>
      <c r="P179" s="7" t="s">
        <v>14</v>
      </c>
      <c r="Q179" s="2" t="s">
        <v>436</v>
      </c>
      <c r="R179" s="2">
        <v>4</v>
      </c>
      <c r="S179" t="str">
        <f>IF(Table1[[#This Row],[Order Date]]&lt;Q179,"Yes","No")</f>
        <v>Yes</v>
      </c>
    </row>
    <row r="180" spans="1:19" ht="14.25" customHeight="1" x14ac:dyDescent="0.3">
      <c r="A180" s="2" t="s">
        <v>437</v>
      </c>
      <c r="B180" s="13">
        <v>45744</v>
      </c>
      <c r="C180" s="2" t="s">
        <v>211</v>
      </c>
      <c r="D180" s="3" t="s">
        <v>58</v>
      </c>
      <c r="E180" s="3" t="s">
        <v>183</v>
      </c>
      <c r="F180" s="2" t="s">
        <v>12</v>
      </c>
      <c r="G180" s="2" t="s">
        <v>13</v>
      </c>
      <c r="H180" s="7" t="s">
        <v>479</v>
      </c>
      <c r="I180" s="7" t="str" cm="1">
        <f t="array" ref="I180">_xlfn.SWITCH(H180,"ELEC","Electronics","BEAU","Beauty","HOME","Home &amp; Kitchen","FASH","Fashion")</f>
        <v>Beauty</v>
      </c>
      <c r="J180" s="7" t="str">
        <f t="shared" si="2"/>
        <v>Match</v>
      </c>
      <c r="K180" s="2">
        <v>8</v>
      </c>
      <c r="L180" s="8">
        <v>100.18</v>
      </c>
      <c r="M180" s="9">
        <v>0.2</v>
      </c>
      <c r="N180" s="8">
        <v>641.15</v>
      </c>
      <c r="O180" s="2" t="s">
        <v>8</v>
      </c>
      <c r="P180" s="7" t="s">
        <v>14</v>
      </c>
      <c r="Q180" s="2" t="s">
        <v>438</v>
      </c>
      <c r="R180" s="2">
        <v>1</v>
      </c>
      <c r="S180" t="str">
        <f>IF(Table1[[#This Row],[Order Date]]&lt;Q180,"Yes","No")</f>
        <v>Yes</v>
      </c>
    </row>
    <row r="181" spans="1:19" ht="14.25" customHeight="1" x14ac:dyDescent="0.3">
      <c r="A181" s="2" t="s">
        <v>439</v>
      </c>
      <c r="B181" s="13">
        <v>45994</v>
      </c>
      <c r="C181" s="2" t="s">
        <v>146</v>
      </c>
      <c r="D181" s="3" t="s">
        <v>39</v>
      </c>
      <c r="E181" s="3" t="s">
        <v>11</v>
      </c>
      <c r="F181" s="2" t="s">
        <v>6</v>
      </c>
      <c r="G181" s="2" t="s">
        <v>7</v>
      </c>
      <c r="H181" s="7" t="s">
        <v>478</v>
      </c>
      <c r="I181" s="7" t="str" cm="1">
        <f t="array" ref="I181">_xlfn.SWITCH(H181,"ELEC","Electronics","BEAU","Beauty","HOME","Home &amp; Kitchen","FASH","Fashion")</f>
        <v>Electronics</v>
      </c>
      <c r="J181" s="7" t="str">
        <f t="shared" si="2"/>
        <v>Match</v>
      </c>
      <c r="K181" s="2">
        <v>2</v>
      </c>
      <c r="L181" s="8">
        <v>356.51</v>
      </c>
      <c r="M181" s="9">
        <v>0</v>
      </c>
      <c r="N181" s="8">
        <v>713.02</v>
      </c>
      <c r="O181" s="2" t="s">
        <v>50</v>
      </c>
      <c r="P181" s="7" t="s">
        <v>14</v>
      </c>
      <c r="Q181" s="2" t="s">
        <v>440</v>
      </c>
      <c r="R181" s="2">
        <v>2</v>
      </c>
      <c r="S181" t="str">
        <f>IF(Table1[[#This Row],[Order Date]]&lt;Q181,"Yes","No")</f>
        <v>Yes</v>
      </c>
    </row>
    <row r="182" spans="1:19" ht="14.25" customHeight="1" x14ac:dyDescent="0.3">
      <c r="A182" s="2" t="s">
        <v>441</v>
      </c>
      <c r="B182" s="13">
        <v>45907</v>
      </c>
      <c r="C182" s="2" t="s">
        <v>205</v>
      </c>
      <c r="D182" s="3" t="s">
        <v>17</v>
      </c>
      <c r="E182" s="3" t="s">
        <v>18</v>
      </c>
      <c r="F182" s="2" t="s">
        <v>6</v>
      </c>
      <c r="G182" s="2" t="s">
        <v>29</v>
      </c>
      <c r="H182" s="7" t="s">
        <v>478</v>
      </c>
      <c r="I182" s="7" t="str" cm="1">
        <f t="array" ref="I182">_xlfn.SWITCH(H182,"ELEC","Electronics","BEAU","Beauty","HOME","Home &amp; Kitchen","FASH","Fashion")</f>
        <v>Electronics</v>
      </c>
      <c r="J182" s="7" t="str">
        <f t="shared" si="2"/>
        <v>Match</v>
      </c>
      <c r="K182" s="2">
        <v>-2</v>
      </c>
      <c r="L182" s="8">
        <v>280.31</v>
      </c>
      <c r="M182" s="9">
        <v>0</v>
      </c>
      <c r="N182" s="8">
        <v>-560.62</v>
      </c>
      <c r="O182" s="2" t="s">
        <v>8</v>
      </c>
      <c r="P182" s="7" t="s">
        <v>53</v>
      </c>
      <c r="Q182" s="2" t="s">
        <v>442</v>
      </c>
      <c r="S182" t="str">
        <f>IF(Table1[[#This Row],[Order Date]]&lt;Q182,"Yes","No")</f>
        <v>Yes</v>
      </c>
    </row>
    <row r="183" spans="1:19" ht="14.25" customHeight="1" x14ac:dyDescent="0.3">
      <c r="A183" s="2" t="s">
        <v>443</v>
      </c>
      <c r="B183" s="13">
        <v>45707</v>
      </c>
      <c r="C183" s="2" t="s">
        <v>310</v>
      </c>
      <c r="D183" s="3" t="s">
        <v>23</v>
      </c>
      <c r="E183" s="3" t="s">
        <v>24</v>
      </c>
      <c r="F183" s="2" t="s">
        <v>12</v>
      </c>
      <c r="G183" s="2" t="s">
        <v>7</v>
      </c>
      <c r="H183" s="7" t="s">
        <v>478</v>
      </c>
      <c r="I183" s="7" t="str" cm="1">
        <f t="array" ref="I183">_xlfn.SWITCH(H183,"ELEC","Electronics","BEAU","Beauty","HOME","Home &amp; Kitchen","FASH","Fashion")</f>
        <v>Electronics</v>
      </c>
      <c r="J183" s="7" t="str">
        <f t="shared" si="2"/>
        <v>Mismatch</v>
      </c>
      <c r="K183" s="2">
        <v>4</v>
      </c>
      <c r="L183" s="8">
        <v>104.05</v>
      </c>
      <c r="M183" s="9">
        <v>0.2</v>
      </c>
      <c r="N183" s="8">
        <v>332.96</v>
      </c>
      <c r="O183" s="2" t="s">
        <v>40</v>
      </c>
      <c r="P183" s="7" t="s">
        <v>45</v>
      </c>
      <c r="Q183" s="2" t="s">
        <v>444</v>
      </c>
      <c r="R183" s="2">
        <v>3</v>
      </c>
      <c r="S183" t="str">
        <f>IF(Table1[[#This Row],[Order Date]]&lt;Q183,"Yes","No")</f>
        <v>Yes</v>
      </c>
    </row>
    <row r="184" spans="1:19" ht="14.25" customHeight="1" x14ac:dyDescent="0.3">
      <c r="A184" s="2" t="s">
        <v>445</v>
      </c>
      <c r="B184" s="14">
        <v>45782</v>
      </c>
      <c r="C184" s="2" t="s">
        <v>446</v>
      </c>
      <c r="D184" s="3" t="s">
        <v>58</v>
      </c>
      <c r="E184" s="3" t="s">
        <v>183</v>
      </c>
      <c r="F184" s="2" t="s">
        <v>71</v>
      </c>
      <c r="G184" s="2" t="s">
        <v>7</v>
      </c>
      <c r="H184" s="7" t="s">
        <v>478</v>
      </c>
      <c r="I184" s="7" t="str" cm="1">
        <f t="array" ref="I184">_xlfn.SWITCH(H184,"ELEC","Electronics","BEAU","Beauty","HOME","Home &amp; Kitchen","FASH","Fashion")</f>
        <v>Electronics</v>
      </c>
      <c r="J184" s="7" t="str">
        <f t="shared" si="2"/>
        <v>Mismatch</v>
      </c>
      <c r="K184" s="2">
        <v>0</v>
      </c>
      <c r="L184" s="8">
        <v>345.18</v>
      </c>
      <c r="M184" s="9">
        <v>0</v>
      </c>
      <c r="N184" s="8">
        <v>0</v>
      </c>
      <c r="O184" s="2" t="s">
        <v>40</v>
      </c>
      <c r="P184" s="7" t="s">
        <v>53</v>
      </c>
      <c r="Q184" s="2" t="s">
        <v>447</v>
      </c>
      <c r="R184" s="2">
        <v>1</v>
      </c>
      <c r="S184" t="str">
        <f>IF(Table1[[#This Row],[Order Date]]&lt;Q184,"Yes","No")</f>
        <v>Yes</v>
      </c>
    </row>
    <row r="185" spans="1:19" ht="14.25" customHeight="1" x14ac:dyDescent="0.3">
      <c r="A185" s="2" t="s">
        <v>448</v>
      </c>
      <c r="B185" s="13">
        <v>46017</v>
      </c>
      <c r="C185" s="2" t="s">
        <v>449</v>
      </c>
      <c r="D185" s="3" t="s">
        <v>58</v>
      </c>
      <c r="E185" s="3" t="s">
        <v>5</v>
      </c>
      <c r="F185" s="2" t="s">
        <v>6</v>
      </c>
      <c r="G185" s="2" t="s">
        <v>29</v>
      </c>
      <c r="H185" s="7" t="s">
        <v>478</v>
      </c>
      <c r="I185" s="7" t="str" cm="1">
        <f t="array" ref="I185">_xlfn.SWITCH(H185,"ELEC","Electronics","BEAU","Beauty","HOME","Home &amp; Kitchen","FASH","Fashion")</f>
        <v>Electronics</v>
      </c>
      <c r="J185" s="7" t="str">
        <f t="shared" si="2"/>
        <v>Match</v>
      </c>
      <c r="K185" s="2">
        <v>8</v>
      </c>
      <c r="L185" s="8">
        <v>424.21</v>
      </c>
      <c r="M185" s="9">
        <v>0.1</v>
      </c>
      <c r="N185" s="8">
        <v>3054.31</v>
      </c>
      <c r="O185" s="2" t="s">
        <v>8</v>
      </c>
      <c r="P185" s="7" t="s">
        <v>45</v>
      </c>
      <c r="Q185" s="2" t="s">
        <v>225</v>
      </c>
      <c r="R185" s="2">
        <v>5</v>
      </c>
      <c r="S185" t="str">
        <f>IF(Table1[[#This Row],[Order Date]]&lt;Q185,"Yes","No")</f>
        <v>Yes</v>
      </c>
    </row>
    <row r="186" spans="1:19" ht="14.25" customHeight="1" x14ac:dyDescent="0.3">
      <c r="A186" s="2" t="s">
        <v>450</v>
      </c>
      <c r="B186" s="13">
        <v>45871</v>
      </c>
      <c r="C186" s="2" t="s">
        <v>125</v>
      </c>
      <c r="D186" s="3" t="s">
        <v>23</v>
      </c>
      <c r="E186" s="3" t="s">
        <v>24</v>
      </c>
      <c r="F186" s="2" t="s">
        <v>6</v>
      </c>
      <c r="G186" s="2" t="s">
        <v>19</v>
      </c>
      <c r="H186" s="7" t="s">
        <v>480</v>
      </c>
      <c r="I186" s="7" t="str" cm="1">
        <f t="array" ref="I186">_xlfn.SWITCH(H186,"ELEC","Electronics","BEAU","Beauty","HOME","Home &amp; Kitchen","FASH","Fashion")</f>
        <v>Home &amp; Kitchen</v>
      </c>
      <c r="J186" s="7" t="str">
        <f t="shared" si="2"/>
        <v>Mismatch</v>
      </c>
      <c r="K186" s="2">
        <v>9</v>
      </c>
      <c r="L186" s="8">
        <v>286.12</v>
      </c>
      <c r="M186" s="9">
        <v>0</v>
      </c>
      <c r="N186" s="8">
        <v>2575.08</v>
      </c>
      <c r="O186" s="2" t="s">
        <v>50</v>
      </c>
      <c r="P186" s="7" t="s">
        <v>45</v>
      </c>
      <c r="Q186" s="2" t="s">
        <v>25</v>
      </c>
      <c r="R186" s="2">
        <v>2</v>
      </c>
      <c r="S186" t="str">
        <f>IF(Table1[[#This Row],[Order Date]]&lt;Q186,"Yes","No")</f>
        <v>Yes</v>
      </c>
    </row>
    <row r="187" spans="1:19" ht="14.25" customHeight="1" x14ac:dyDescent="0.3">
      <c r="A187" s="2" t="s">
        <v>451</v>
      </c>
      <c r="B187" s="13">
        <v>45741</v>
      </c>
      <c r="C187" s="2" t="s">
        <v>452</v>
      </c>
      <c r="D187" s="3" t="s">
        <v>23</v>
      </c>
      <c r="E187" s="3" t="s">
        <v>24</v>
      </c>
      <c r="F187" s="2" t="s">
        <v>12</v>
      </c>
      <c r="G187" s="2" t="s">
        <v>7</v>
      </c>
      <c r="H187" s="7" t="s">
        <v>478</v>
      </c>
      <c r="I187" s="7" t="str" cm="1">
        <f t="array" ref="I187">_xlfn.SWITCH(H187,"ELEC","Electronics","BEAU","Beauty","HOME","Home &amp; Kitchen","FASH","Fashion")</f>
        <v>Electronics</v>
      </c>
      <c r="J187" s="7" t="str">
        <f t="shared" si="2"/>
        <v>Mismatch</v>
      </c>
      <c r="K187" s="2">
        <v>10</v>
      </c>
      <c r="L187" s="8">
        <v>418.98</v>
      </c>
      <c r="M187" s="9">
        <v>0.15</v>
      </c>
      <c r="N187" s="8">
        <v>3561.33</v>
      </c>
      <c r="O187" s="2" t="s">
        <v>30</v>
      </c>
      <c r="P187" s="7" t="s">
        <v>45</v>
      </c>
      <c r="Q187" s="2" t="s">
        <v>453</v>
      </c>
      <c r="R187" s="2">
        <v>5</v>
      </c>
      <c r="S187" t="str">
        <f>IF(Table1[[#This Row],[Order Date]]&lt;Q187,"Yes","No")</f>
        <v>Yes</v>
      </c>
    </row>
    <row r="188" spans="1:19" ht="14.25" customHeight="1" x14ac:dyDescent="0.3">
      <c r="A188" s="2" t="s">
        <v>454</v>
      </c>
      <c r="B188" s="13">
        <v>45685</v>
      </c>
      <c r="C188" s="2" t="s">
        <v>134</v>
      </c>
      <c r="D188" s="3" t="s">
        <v>39</v>
      </c>
      <c r="E188" s="3" t="s">
        <v>11</v>
      </c>
      <c r="F188" s="2" t="s">
        <v>6</v>
      </c>
      <c r="G188" s="2" t="s">
        <v>49</v>
      </c>
      <c r="H188" s="7" t="s">
        <v>481</v>
      </c>
      <c r="I188" s="7" t="str" cm="1">
        <f t="array" ref="I188">_xlfn.SWITCH(H188,"ELEC","Electronics","BEAU","Beauty","HOME","Home &amp; Kitchen","FASH","Fashion")</f>
        <v>Fashion</v>
      </c>
      <c r="J188" s="7" t="str">
        <f t="shared" si="2"/>
        <v>Mismatch</v>
      </c>
      <c r="K188" s="2">
        <v>4</v>
      </c>
      <c r="L188" s="8">
        <v>420.95</v>
      </c>
      <c r="M188" s="9">
        <v>0.1</v>
      </c>
      <c r="N188" s="8">
        <v>1515.42</v>
      </c>
      <c r="O188" s="2" t="s">
        <v>8</v>
      </c>
      <c r="P188" s="7" t="s">
        <v>14</v>
      </c>
      <c r="Q188" s="2" t="s">
        <v>455</v>
      </c>
      <c r="R188" s="2">
        <v>5</v>
      </c>
      <c r="S188" t="str">
        <f>IF(Table1[[#This Row],[Order Date]]&lt;Q188,"Yes","No")</f>
        <v>Yes</v>
      </c>
    </row>
    <row r="189" spans="1:19" ht="14.25" customHeight="1" x14ac:dyDescent="0.3">
      <c r="A189" s="2" t="s">
        <v>456</v>
      </c>
      <c r="B189" s="13">
        <v>45774</v>
      </c>
      <c r="C189" s="2" t="s">
        <v>69</v>
      </c>
      <c r="D189" s="3" t="s">
        <v>58</v>
      </c>
      <c r="E189" s="3" t="s">
        <v>183</v>
      </c>
      <c r="F189" s="2" t="s">
        <v>44</v>
      </c>
      <c r="G189" s="2" t="s">
        <v>13</v>
      </c>
      <c r="H189" s="7" t="s">
        <v>479</v>
      </c>
      <c r="I189" s="7" t="str" cm="1">
        <f t="array" ref="I189">_xlfn.SWITCH(H189,"ELEC","Electronics","BEAU","Beauty","HOME","Home &amp; Kitchen","FASH","Fashion")</f>
        <v>Beauty</v>
      </c>
      <c r="J189" s="7" t="str">
        <f t="shared" si="2"/>
        <v>Mismatch</v>
      </c>
      <c r="K189" s="2">
        <v>7</v>
      </c>
      <c r="L189" s="8">
        <v>221.61</v>
      </c>
      <c r="M189" s="9">
        <v>0.2</v>
      </c>
      <c r="N189" s="8">
        <v>1241.02</v>
      </c>
      <c r="O189" s="2" t="s">
        <v>8</v>
      </c>
      <c r="P189" s="7" t="s">
        <v>45</v>
      </c>
      <c r="Q189" s="2" t="s">
        <v>457</v>
      </c>
      <c r="R189" s="2">
        <v>4</v>
      </c>
      <c r="S189" t="str">
        <f>IF(Table1[[#This Row],[Order Date]]&lt;Q189,"Yes","No")</f>
        <v>Yes</v>
      </c>
    </row>
    <row r="190" spans="1:19" ht="14.25" customHeight="1" x14ac:dyDescent="0.3">
      <c r="A190" s="2" t="s">
        <v>458</v>
      </c>
      <c r="B190" s="13">
        <v>45852</v>
      </c>
      <c r="C190" s="2" t="s">
        <v>227</v>
      </c>
      <c r="D190" s="3" t="s">
        <v>58</v>
      </c>
      <c r="E190" s="3" t="s">
        <v>28</v>
      </c>
      <c r="F190" s="2" t="s">
        <v>71</v>
      </c>
      <c r="G190" s="2" t="s">
        <v>7</v>
      </c>
      <c r="H190" s="7" t="s">
        <v>478</v>
      </c>
      <c r="I190" s="7" t="str" cm="1">
        <f t="array" ref="I190">_xlfn.SWITCH(H190,"ELEC","Electronics","BEAU","Beauty","HOME","Home &amp; Kitchen","FASH","Fashion")</f>
        <v>Electronics</v>
      </c>
      <c r="J190" s="7" t="str">
        <f t="shared" si="2"/>
        <v>Mismatch</v>
      </c>
      <c r="K190" s="2">
        <v>7</v>
      </c>
      <c r="L190" s="8">
        <v>165.17</v>
      </c>
      <c r="M190" s="9">
        <v>0</v>
      </c>
      <c r="N190" s="8">
        <v>1156.19</v>
      </c>
      <c r="O190" s="2" t="s">
        <v>8</v>
      </c>
      <c r="P190" s="7" t="s">
        <v>31</v>
      </c>
      <c r="Q190" s="2" t="s">
        <v>236</v>
      </c>
      <c r="R190" s="2">
        <v>1</v>
      </c>
      <c r="S190" t="str">
        <f>IF(Table1[[#This Row],[Order Date]]&lt;Q190,"Yes","No")</f>
        <v>Yes</v>
      </c>
    </row>
    <row r="191" spans="1:19" ht="14.25" customHeight="1" x14ac:dyDescent="0.3">
      <c r="A191" s="2" t="s">
        <v>459</v>
      </c>
      <c r="B191" s="13">
        <v>45908</v>
      </c>
      <c r="C191" s="2" t="s">
        <v>460</v>
      </c>
      <c r="D191" s="3" t="s">
        <v>58</v>
      </c>
      <c r="E191" s="3" t="s">
        <v>28</v>
      </c>
      <c r="F191" s="2" t="s">
        <v>44</v>
      </c>
      <c r="G191" s="2" t="s">
        <v>13</v>
      </c>
      <c r="H191" s="7" t="s">
        <v>479</v>
      </c>
      <c r="I191" s="7" t="str" cm="1">
        <f t="array" ref="I191">_xlfn.SWITCH(H191,"ELEC","Electronics","BEAU","Beauty","HOME","Home &amp; Kitchen","FASH","Fashion")</f>
        <v>Beauty</v>
      </c>
      <c r="J191" s="7" t="str">
        <f t="shared" si="2"/>
        <v>Mismatch</v>
      </c>
      <c r="K191" s="2">
        <v>9</v>
      </c>
      <c r="L191" s="8">
        <v>261.10000000000002</v>
      </c>
      <c r="M191" s="9">
        <v>0</v>
      </c>
      <c r="N191" s="8">
        <v>2349.9</v>
      </c>
      <c r="O191" s="2" t="s">
        <v>8</v>
      </c>
      <c r="P191" s="7" t="s">
        <v>53</v>
      </c>
      <c r="R191" s="2">
        <v>1</v>
      </c>
      <c r="S191" t="str">
        <f>IF(Table1[[#This Row],[Order Date]]&lt;Q191,"Yes","No")</f>
        <v>No</v>
      </c>
    </row>
    <row r="192" spans="1:19" ht="14.25" customHeight="1" x14ac:dyDescent="0.3">
      <c r="A192" s="2" t="s">
        <v>461</v>
      </c>
      <c r="B192" s="13">
        <v>45664</v>
      </c>
      <c r="C192" s="2" t="s">
        <v>38</v>
      </c>
      <c r="D192" s="3" t="s">
        <v>58</v>
      </c>
      <c r="E192" s="3" t="s">
        <v>5</v>
      </c>
      <c r="F192" s="2" t="s">
        <v>71</v>
      </c>
      <c r="G192" s="2" t="s">
        <v>49</v>
      </c>
      <c r="H192" s="7" t="s">
        <v>481</v>
      </c>
      <c r="I192" s="7" t="str" cm="1">
        <f t="array" ref="I192">_xlfn.SWITCH(H192,"ELEC","Electronics","BEAU","Beauty","HOME","Home &amp; Kitchen","FASH","Fashion")</f>
        <v>Fashion</v>
      </c>
      <c r="J192" s="7" t="str">
        <f t="shared" si="2"/>
        <v>Mismatch</v>
      </c>
      <c r="K192" s="2">
        <v>7</v>
      </c>
      <c r="L192" s="8">
        <v>391.79</v>
      </c>
      <c r="M192" s="9">
        <v>0.2</v>
      </c>
      <c r="N192" s="8">
        <v>2194.02</v>
      </c>
      <c r="O192" s="2" t="s">
        <v>8</v>
      </c>
      <c r="P192" s="7" t="s">
        <v>45</v>
      </c>
      <c r="Q192" s="2" t="s">
        <v>462</v>
      </c>
      <c r="R192" s="2">
        <v>2</v>
      </c>
      <c r="S192" t="str">
        <f>IF(Table1[[#This Row],[Order Date]]&lt;Q192,"Yes","No")</f>
        <v>Yes</v>
      </c>
    </row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7" type="noConversion"/>
  <conditionalFormatting sqref="C2:S192 A2:A192">
    <cfRule type="containsBlanks" dxfId="6" priority="3">
      <formula>LEN(TRIM(A2))=0</formula>
    </cfRule>
  </conditionalFormatting>
  <conditionalFormatting sqref="K2:K192">
    <cfRule type="cellIs" dxfId="5" priority="11" operator="lessThanOrEqual">
      <formula>0</formula>
    </cfRule>
  </conditionalFormatting>
  <conditionalFormatting sqref="M2:M192">
    <cfRule type="cellIs" dxfId="4" priority="9" operator="greaterThanOrEqual">
      <formula>1</formula>
    </cfRule>
    <cfRule type="cellIs" priority="10" operator="greaterThanOrEqual">
      <formula>1</formula>
    </cfRule>
  </conditionalFormatting>
  <conditionalFormatting sqref="N2:N192">
    <cfRule type="cellIs" dxfId="3" priority="4" operator="lessThanOrEqual">
      <formula>0</formula>
    </cfRule>
    <cfRule type="cellIs" priority="5" operator="lessThanOrEqual">
      <formula>0</formula>
    </cfRule>
  </conditionalFormatting>
  <conditionalFormatting sqref="R2:R192">
    <cfRule type="cellIs" dxfId="2" priority="6" operator="greaterThan">
      <formula>5</formula>
    </cfRule>
  </conditionalFormatting>
  <conditionalFormatting sqref="S2:S192">
    <cfRule type="containsText" dxfId="1" priority="2" operator="containsText" text="No">
      <formula>NOT(ISERROR(SEARCH("No",S2)))</formula>
    </cfRule>
  </conditionalFormatting>
  <conditionalFormatting sqref="J2:J192">
    <cfRule type="containsText" dxfId="0" priority="1" operator="containsText" text="Mismatch">
      <formula>NOT(ISERROR(SEARCH("Mismatch",J2)))</formula>
    </cfRule>
  </conditionalFormatting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SWASTI SINHA</cp:lastModifiedBy>
  <dcterms:created xsi:type="dcterms:W3CDTF">2026-06-10T10:01:34Z</dcterms:created>
  <dcterms:modified xsi:type="dcterms:W3CDTF">2026-10-01T08:58:42Z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2026-06-10T11:28:59Z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1188833f-4b19-463a-898f-c68316dc9456</vt:lpwstr>
  </property>
  <property fmtid="{D5CDD505-2E9C-101B-9397-08002B2CF9AE}" pid="7" name="MSIP_Label_defa4170-0d19-0005-0004-bc88714345d2_ActionId">
    <vt:lpwstr>e2f93f65-55d7-47f5-8a54-33365f8cf305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